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365-my.sharepoint.com/personal/fmaiorodrigues_tudelft_nl/Documents/Combustion/Assignments/"/>
    </mc:Choice>
  </mc:AlternateContent>
  <xr:revisionPtr revIDLastSave="11" documentId="8_{B85172A8-837B-44CC-B559-727F8BB139E5}" xr6:coauthVersionLast="47" xr6:coauthVersionMax="47" xr10:uidLastSave="{0E280228-A03C-43ED-82C6-53C84D57A593}"/>
  <bookViews>
    <workbookView xWindow="-108" yWindow="-108" windowWidth="23256" windowHeight="12456" activeTab="3" xr2:uid="{CEFF3C84-A269-430F-B545-0B81AEC1D7B0}"/>
  </bookViews>
  <sheets>
    <sheet name="Chemestry CH4" sheetId="1" r:id="rId1"/>
    <sheet name="Chemestry H2" sheetId="3" r:id="rId2"/>
    <sheet name="CH4" sheetId="4" r:id="rId3"/>
    <sheet name="H2" sheetId="6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6" l="1"/>
  <c r="B16" i="6" s="1"/>
  <c r="D16" i="6"/>
  <c r="F16" i="6" s="1"/>
  <c r="I16" i="6"/>
  <c r="J16" i="6" s="1"/>
  <c r="K16" i="6" s="1"/>
  <c r="L16" i="6" s="1"/>
  <c r="A17" i="6"/>
  <c r="C17" i="6" s="1"/>
  <c r="A15" i="6"/>
  <c r="B15" i="6" s="1"/>
  <c r="C15" i="6"/>
  <c r="D15" i="6"/>
  <c r="E15" i="6" s="1"/>
  <c r="H15" i="6"/>
  <c r="I15" i="6"/>
  <c r="A14" i="6"/>
  <c r="G3" i="4"/>
  <c r="I13" i="4"/>
  <c r="P8" i="6"/>
  <c r="G7" i="6"/>
  <c r="C13" i="6" s="1"/>
  <c r="G6" i="6"/>
  <c r="I13" i="6"/>
  <c r="J13" i="6" s="1"/>
  <c r="K13" i="6" s="1"/>
  <c r="L13" i="6" s="1"/>
  <c r="B13" i="6"/>
  <c r="M6" i="6"/>
  <c r="J6" i="6"/>
  <c r="P5" i="6"/>
  <c r="P6" i="6" s="1"/>
  <c r="M5" i="6"/>
  <c r="J5" i="6"/>
  <c r="G3" i="6"/>
  <c r="G4" i="6" s="1"/>
  <c r="G5" i="6" s="1"/>
  <c r="G7" i="4"/>
  <c r="M7" i="6"/>
  <c r="J7" i="6"/>
  <c r="J8" i="6"/>
  <c r="M8" i="6"/>
  <c r="J7" i="4"/>
  <c r="M7" i="4"/>
  <c r="A18" i="6" l="1"/>
  <c r="H16" i="6"/>
  <c r="C16" i="6"/>
  <c r="E16" i="6" s="1"/>
  <c r="D17" i="6"/>
  <c r="B17" i="6"/>
  <c r="I17" i="6"/>
  <c r="H17" i="6"/>
  <c r="G15" i="6"/>
  <c r="F15" i="6"/>
  <c r="J15" i="6"/>
  <c r="K15" i="6" s="1"/>
  <c r="L15" i="6" s="1"/>
  <c r="M15" i="6" s="1"/>
  <c r="D13" i="6"/>
  <c r="D14" i="6"/>
  <c r="H14" i="6"/>
  <c r="I14" i="6"/>
  <c r="B14" i="6"/>
  <c r="C14" i="6"/>
  <c r="E14" i="6" s="1"/>
  <c r="G14" i="6" s="1"/>
  <c r="P8" i="4"/>
  <c r="I14" i="4"/>
  <c r="I15" i="4"/>
  <c r="J14" i="4"/>
  <c r="J15" i="4"/>
  <c r="J13" i="4"/>
  <c r="H7" i="3"/>
  <c r="H7" i="1"/>
  <c r="B13" i="4"/>
  <c r="M6" i="4"/>
  <c r="M5" i="4"/>
  <c r="P5" i="4"/>
  <c r="P6" i="4" s="1"/>
  <c r="J6" i="4"/>
  <c r="J5" i="4"/>
  <c r="A14" i="4"/>
  <c r="A15" i="4" s="1"/>
  <c r="G4" i="4"/>
  <c r="G5" i="4" s="1"/>
  <c r="B28" i="3"/>
  <c r="B28" i="1"/>
  <c r="B26" i="1"/>
  <c r="AE19" i="3"/>
  <c r="U19" i="3"/>
  <c r="AC18" i="3"/>
  <c r="Y18" i="3"/>
  <c r="S18" i="3"/>
  <c r="M18" i="3"/>
  <c r="I18" i="3"/>
  <c r="C18" i="3"/>
  <c r="C19" i="3" s="1"/>
  <c r="C11" i="3"/>
  <c r="AD8" i="3"/>
  <c r="F8" i="3"/>
  <c r="D8" i="3"/>
  <c r="R7" i="3" s="1"/>
  <c r="AB7" i="3"/>
  <c r="AC11" i="3" s="1"/>
  <c r="B27" i="1"/>
  <c r="B29" i="1" s="1"/>
  <c r="Y18" i="1"/>
  <c r="Y19" i="1" s="1"/>
  <c r="Q19" i="1" s="1"/>
  <c r="I19" i="1"/>
  <c r="O19" i="1" s="1"/>
  <c r="I18" i="1"/>
  <c r="X7" i="1"/>
  <c r="M18" i="1"/>
  <c r="C18" i="1"/>
  <c r="C19" i="1" s="1"/>
  <c r="AE19" i="1"/>
  <c r="U19" i="1"/>
  <c r="AC18" i="1"/>
  <c r="S18" i="1"/>
  <c r="C11" i="1"/>
  <c r="F8" i="1"/>
  <c r="AB7" i="1" s="1"/>
  <c r="D8" i="1"/>
  <c r="R7" i="1" s="1"/>
  <c r="V8" i="1" s="1"/>
  <c r="N15" i="6"/>
  <c r="M8" i="4"/>
  <c r="J8" i="4"/>
  <c r="M16" i="6" l="1"/>
  <c r="G16" i="6"/>
  <c r="J17" i="6"/>
  <c r="K17" i="6"/>
  <c r="L17" i="6" s="1"/>
  <c r="F17" i="6"/>
  <c r="E17" i="6"/>
  <c r="G17" i="6" s="1"/>
  <c r="E18" i="6"/>
  <c r="G18" i="6" s="1"/>
  <c r="C18" i="6"/>
  <c r="I18" i="6"/>
  <c r="B18" i="6"/>
  <c r="D18" i="6"/>
  <c r="H18" i="6" s="1"/>
  <c r="A19" i="6"/>
  <c r="D14" i="4"/>
  <c r="D13" i="4"/>
  <c r="H13" i="4" s="1"/>
  <c r="J14" i="6"/>
  <c r="K14" i="6" s="1"/>
  <c r="L14" i="6" s="1"/>
  <c r="M14" i="6" s="1"/>
  <c r="F14" i="6"/>
  <c r="F13" i="6"/>
  <c r="H13" i="6"/>
  <c r="E13" i="6"/>
  <c r="G13" i="6" s="1"/>
  <c r="K15" i="4"/>
  <c r="L15" i="4" s="1"/>
  <c r="K14" i="4"/>
  <c r="L14" i="4" s="1"/>
  <c r="K13" i="4"/>
  <c r="L13" i="4" s="1"/>
  <c r="C13" i="4"/>
  <c r="B14" i="4"/>
  <c r="C14" i="4"/>
  <c r="C15" i="4"/>
  <c r="B15" i="4"/>
  <c r="G6" i="4"/>
  <c r="AF8" i="3"/>
  <c r="AC19" i="3"/>
  <c r="T8" i="3"/>
  <c r="S19" i="3"/>
  <c r="S11" i="3"/>
  <c r="Q13" i="3" s="1"/>
  <c r="V8" i="3"/>
  <c r="L7" i="3" s="1"/>
  <c r="N8" i="3"/>
  <c r="S11" i="1"/>
  <c r="S19" i="1"/>
  <c r="AC11" i="1"/>
  <c r="AD8" i="1"/>
  <c r="AC19" i="1"/>
  <c r="AF8" i="1"/>
  <c r="L7" i="1" s="1"/>
  <c r="T8" i="1"/>
  <c r="N16" i="6"/>
  <c r="N14" i="6"/>
  <c r="I19" i="6" l="1"/>
  <c r="A20" i="6"/>
  <c r="E19" i="6"/>
  <c r="G19" i="6" s="1"/>
  <c r="B19" i="6"/>
  <c r="C19" i="6"/>
  <c r="F18" i="6"/>
  <c r="J18" i="6"/>
  <c r="K18" i="6"/>
  <c r="L18" i="6" s="1"/>
  <c r="M18" i="6" s="1"/>
  <c r="M17" i="6"/>
  <c r="H14" i="4"/>
  <c r="F14" i="4"/>
  <c r="M13" i="6"/>
  <c r="E15" i="4"/>
  <c r="H15" i="4" s="1"/>
  <c r="E14" i="4"/>
  <c r="F13" i="4"/>
  <c r="E13" i="4"/>
  <c r="M13" i="4" s="1"/>
  <c r="D15" i="4"/>
  <c r="M15" i="4" s="1"/>
  <c r="M19" i="3"/>
  <c r="B26" i="3" s="1"/>
  <c r="M11" i="3"/>
  <c r="B13" i="3" s="1"/>
  <c r="B15" i="3" s="1"/>
  <c r="B24" i="3" s="1"/>
  <c r="B25" i="3" s="1"/>
  <c r="X7" i="3"/>
  <c r="Y19" i="3" s="1"/>
  <c r="Q19" i="3" s="1"/>
  <c r="I19" i="3"/>
  <c r="B27" i="3" s="1"/>
  <c r="B29" i="3" s="1"/>
  <c r="Q13" i="1"/>
  <c r="N8" i="1"/>
  <c r="M11" i="1"/>
  <c r="B13" i="1" s="1"/>
  <c r="B15" i="1" s="1"/>
  <c r="M19" i="1"/>
  <c r="N17" i="6"/>
  <c r="N18" i="6"/>
  <c r="N13" i="6"/>
  <c r="N13" i="4"/>
  <c r="N15" i="4"/>
  <c r="I20" i="6" l="1"/>
  <c r="A21" i="6"/>
  <c r="C20" i="6"/>
  <c r="E20" i="6"/>
  <c r="G20" i="6" s="1"/>
  <c r="B20" i="6"/>
  <c r="D19" i="6"/>
  <c r="J19" i="6"/>
  <c r="K19" i="6"/>
  <c r="L19" i="6" s="1"/>
  <c r="H19" i="6"/>
  <c r="G13" i="4"/>
  <c r="G14" i="4"/>
  <c r="M14" i="4"/>
  <c r="F15" i="4"/>
  <c r="G15" i="4"/>
  <c r="O19" i="3"/>
  <c r="B24" i="1"/>
  <c r="B25" i="1" s="1"/>
  <c r="N14" i="4"/>
  <c r="M19" i="6" l="1"/>
  <c r="F19" i="6"/>
  <c r="H20" i="6"/>
  <c r="D20" i="6"/>
  <c r="E21" i="6"/>
  <c r="G21" i="6" s="1"/>
  <c r="I21" i="6"/>
  <c r="C21" i="6"/>
  <c r="H21" i="6"/>
  <c r="B21" i="6"/>
  <c r="D21" i="6"/>
  <c r="J20" i="6"/>
  <c r="K20" i="6"/>
  <c r="L20" i="6" s="1"/>
  <c r="N19" i="6"/>
  <c r="F21" i="6" l="1"/>
  <c r="J21" i="6"/>
  <c r="K21" i="6" s="1"/>
  <c r="L21" i="6" s="1"/>
  <c r="M21" i="6" s="1"/>
  <c r="M20" i="6"/>
  <c r="F20" i="6"/>
  <c r="N20" i="6"/>
  <c r="N21" i="6"/>
</calcChain>
</file>

<file path=xl/sharedStrings.xml><?xml version="1.0" encoding="utf-8"?>
<sst xmlns="http://schemas.openxmlformats.org/spreadsheetml/2006/main" count="246" uniqueCount="84">
  <si>
    <t>Reagentes</t>
  </si>
  <si>
    <t>Produtos reaçao</t>
  </si>
  <si>
    <t>-&gt;</t>
  </si>
  <si>
    <t>SAF</t>
  </si>
  <si>
    <t>Oxigenio</t>
  </si>
  <si>
    <t xml:space="preserve">Carbono </t>
  </si>
  <si>
    <t>Agua</t>
  </si>
  <si>
    <t xml:space="preserve">balanço </t>
  </si>
  <si>
    <t xml:space="preserve">molecula </t>
  </si>
  <si>
    <t>balanço</t>
  </si>
  <si>
    <t>Molecula</t>
  </si>
  <si>
    <t>molecula</t>
  </si>
  <si>
    <t>Balanço</t>
  </si>
  <si>
    <t>C</t>
  </si>
  <si>
    <t>H</t>
  </si>
  <si>
    <t>O</t>
  </si>
  <si>
    <t>total moles</t>
  </si>
  <si>
    <t>Entalpy of fromation kJ / mole</t>
  </si>
  <si>
    <t>Energy in the system
 kJ / mole of reaction</t>
  </si>
  <si>
    <t>Total formation enthaly 
KJ / mole of reactin</t>
  </si>
  <si>
    <t xml:space="preserve">Delta enthalpy
kJ / mole of reaction </t>
  </si>
  <si>
    <t>Molar mass g</t>
  </si>
  <si>
    <t>total</t>
  </si>
  <si>
    <t>Molar mass 
g per mole reacion</t>
  </si>
  <si>
    <t>Elemnts molar mass g/mol</t>
  </si>
  <si>
    <t>N</t>
  </si>
  <si>
    <t>LHV kJ / g</t>
  </si>
  <si>
    <t>LHV J / kg</t>
  </si>
  <si>
    <t>Nitrogenio</t>
  </si>
  <si>
    <t>F/Ox stec</t>
  </si>
  <si>
    <t>F/air stec</t>
  </si>
  <si>
    <t>Ox / F</t>
  </si>
  <si>
    <t>Air / F</t>
  </si>
  <si>
    <t>Constant power</t>
  </si>
  <si>
    <t>W</t>
  </si>
  <si>
    <t>LHV</t>
  </si>
  <si>
    <t>kJ / g</t>
  </si>
  <si>
    <t>J/g</t>
  </si>
  <si>
    <t>INPUTS</t>
  </si>
  <si>
    <t>Reacting fuel</t>
  </si>
  <si>
    <t>g /s</t>
  </si>
  <si>
    <t>Reacting air</t>
  </si>
  <si>
    <t>g/s</t>
  </si>
  <si>
    <t>Φ</t>
  </si>
  <si>
    <t>Limit</t>
  </si>
  <si>
    <t>F/A</t>
  </si>
  <si>
    <t>Constants</t>
  </si>
  <si>
    <t>-</t>
  </si>
  <si>
    <t>Air Flow [g/s]</t>
  </si>
  <si>
    <t>Fuel Flow [g/s]</t>
  </si>
  <si>
    <t>hPa</t>
  </si>
  <si>
    <t>T nlpm</t>
  </si>
  <si>
    <t>P nlpm</t>
  </si>
  <si>
    <t>k</t>
  </si>
  <si>
    <t>Pa</t>
  </si>
  <si>
    <t>T lab</t>
  </si>
  <si>
    <t>P lab</t>
  </si>
  <si>
    <t>D tue</t>
  </si>
  <si>
    <t>L/D</t>
  </si>
  <si>
    <t>mm</t>
  </si>
  <si>
    <t>D tube</t>
  </si>
  <si>
    <t>m</t>
  </si>
  <si>
    <t>L turbe</t>
  </si>
  <si>
    <t>K</t>
  </si>
  <si>
    <t>amts</t>
  </si>
  <si>
    <t>rho_n fuel</t>
  </si>
  <si>
    <t>rho_n air</t>
  </si>
  <si>
    <t>kg/m3</t>
  </si>
  <si>
    <t>Fuel flow nlpm</t>
  </si>
  <si>
    <t>Air flow nlpm</t>
  </si>
  <si>
    <t>Therm. P 
check</t>
  </si>
  <si>
    <t>F/a stock</t>
  </si>
  <si>
    <t>nitrogen ox ratio</t>
  </si>
  <si>
    <t>Mw air</t>
  </si>
  <si>
    <t>g/mol</t>
  </si>
  <si>
    <t>R gas</t>
  </si>
  <si>
    <t>J/(K mol)</t>
  </si>
  <si>
    <t>rho mixure
[kg/m3]</t>
  </si>
  <si>
    <t>V bulk
[m/s]</t>
  </si>
  <si>
    <t>Re</t>
  </si>
  <si>
    <t>Molar fraction 
Fuel 
[g/mol]</t>
  </si>
  <si>
    <t>Molar fraction 
air 
[g/mol]</t>
  </si>
  <si>
    <t>Molar mass 
mixture 
[g/mol]</t>
  </si>
  <si>
    <t>Mw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</si>
</sst>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6" borderId="12" xfId="0" applyFill="1" applyBorder="1"/>
    <xf numFmtId="0" fontId="0" fillId="8" borderId="13" xfId="0" applyFill="1" applyBorder="1"/>
    <xf numFmtId="0" fontId="1" fillId="10" borderId="14" xfId="0" applyFont="1" applyFill="1" applyBorder="1"/>
    <xf numFmtId="0" fontId="0" fillId="6" borderId="16" xfId="0" applyFill="1" applyBorder="1"/>
    <xf numFmtId="0" fontId="0" fillId="7" borderId="17" xfId="0" applyFill="1" applyBorder="1"/>
    <xf numFmtId="0" fontId="0" fillId="7" borderId="18" xfId="0" applyFill="1" applyBorder="1"/>
    <xf numFmtId="0" fontId="0" fillId="8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1" fillId="10" borderId="19" xfId="0" applyFont="1" applyFill="1" applyBorder="1"/>
    <xf numFmtId="0" fontId="1" fillId="11" borderId="20" xfId="0" applyFont="1" applyFill="1" applyBorder="1"/>
    <xf numFmtId="0" fontId="1" fillId="11" borderId="17" xfId="0" applyFont="1" applyFill="1" applyBorder="1"/>
    <xf numFmtId="0" fontId="1" fillId="11" borderId="18" xfId="0" applyFont="1" applyFill="1" applyBorder="1"/>
    <xf numFmtId="0" fontId="0" fillId="13" borderId="17" xfId="0" applyFill="1" applyBorder="1"/>
    <xf numFmtId="0" fontId="0" fillId="0" borderId="19" xfId="0" applyBorder="1"/>
    <xf numFmtId="0" fontId="0" fillId="0" borderId="17" xfId="0" applyBorder="1"/>
    <xf numFmtId="0" fontId="0" fillId="0" borderId="18" xfId="0" applyBorder="1"/>
    <xf numFmtId="0" fontId="0" fillId="15" borderId="0" xfId="0" applyFill="1" applyAlignment="1">
      <alignment vertical="center"/>
    </xf>
    <xf numFmtId="0" fontId="0" fillId="17" borderId="21" xfId="0" applyFill="1" applyBorder="1"/>
    <xf numFmtId="0" fontId="0" fillId="18" borderId="0" xfId="0" applyFill="1"/>
    <xf numFmtId="0" fontId="0" fillId="18" borderId="0" xfId="0" applyFill="1" applyAlignment="1">
      <alignment horizontal="center" vertical="center"/>
    </xf>
    <xf numFmtId="0" fontId="0" fillId="17" borderId="21" xfId="0" applyFill="1" applyBorder="1" applyAlignment="1">
      <alignment wrapText="1"/>
    </xf>
    <xf numFmtId="0" fontId="0" fillId="18" borderId="22" xfId="0" applyFill="1" applyBorder="1" applyAlignment="1">
      <alignment horizontal="center" vertical="center"/>
    </xf>
    <xf numFmtId="0" fontId="0" fillId="7" borderId="0" xfId="0" applyFill="1"/>
    <xf numFmtId="0" fontId="0" fillId="7" borderId="6" xfId="0" applyFill="1" applyBorder="1"/>
    <xf numFmtId="0" fontId="0" fillId="7" borderId="8" xfId="0" applyFill="1" applyBorder="1"/>
    <xf numFmtId="0" fontId="0" fillId="19" borderId="6" xfId="0" applyFill="1" applyBorder="1"/>
    <xf numFmtId="0" fontId="0" fillId="19" borderId="22" xfId="0" applyFill="1" applyBorder="1"/>
    <xf numFmtId="0" fontId="0" fillId="19" borderId="19" xfId="0" applyFill="1" applyBorder="1"/>
    <xf numFmtId="0" fontId="0" fillId="19" borderId="16" xfId="0" applyFill="1" applyBorder="1"/>
    <xf numFmtId="0" fontId="0" fillId="18" borderId="6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17" xfId="0" applyFill="1" applyBorder="1"/>
    <xf numFmtId="0" fontId="0" fillId="16" borderId="18" xfId="0" applyFill="1" applyBorder="1"/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wrapText="1"/>
    </xf>
    <xf numFmtId="0" fontId="0" fillId="12" borderId="0" xfId="0" applyFill="1"/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9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5" borderId="13" xfId="0" applyFill="1" applyBorder="1"/>
    <xf numFmtId="0" fontId="0" fillId="15" borderId="16" xfId="0" applyFill="1" applyBorder="1"/>
    <xf numFmtId="0" fontId="0" fillId="20" borderId="0" xfId="0" applyFill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17" xfId="0" applyFill="1" applyBorder="1"/>
    <xf numFmtId="0" fontId="0" fillId="20" borderId="18" xfId="0" applyFill="1" applyBorder="1"/>
    <xf numFmtId="0" fontId="0" fillId="21" borderId="13" xfId="0" applyFill="1" applyBorder="1"/>
    <xf numFmtId="0" fontId="0" fillId="21" borderId="16" xfId="0" applyFill="1" applyBorder="1"/>
    <xf numFmtId="0" fontId="0" fillId="19" borderId="0" xfId="0" applyFill="1" applyBorder="1"/>
    <xf numFmtId="0" fontId="0" fillId="7" borderId="17" xfId="0" quotePrefix="1" applyFill="1" applyBorder="1"/>
    <xf numFmtId="0" fontId="3" fillId="22" borderId="6" xfId="0" applyFont="1" applyFill="1" applyBorder="1"/>
    <xf numFmtId="0" fontId="3" fillId="22" borderId="22" xfId="0" applyFont="1" applyFill="1" applyBorder="1"/>
    <xf numFmtId="0" fontId="3" fillId="22" borderId="19" xfId="0" applyFont="1" applyFill="1" applyBorder="1"/>
    <xf numFmtId="0" fontId="3" fillId="22" borderId="16" xfId="0" applyFont="1" applyFill="1" applyBorder="1"/>
    <xf numFmtId="17" fontId="0" fillId="0" borderId="0" xfId="0" applyNumberFormat="1"/>
    <xf numFmtId="0" fontId="0" fillId="19" borderId="4" xfId="0" applyFill="1" applyBorder="1"/>
    <xf numFmtId="0" fontId="0" fillId="19" borderId="5" xfId="0" applyFill="1" applyBorder="1"/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0" fillId="23" borderId="19" xfId="0" applyFill="1" applyBorder="1"/>
    <xf numFmtId="0" fontId="0" fillId="23" borderId="17" xfId="0" applyFill="1" applyBorder="1"/>
    <xf numFmtId="0" fontId="0" fillId="23" borderId="18" xfId="0" applyFill="1" applyBorder="1"/>
    <xf numFmtId="0" fontId="0" fillId="24" borderId="6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8" xfId="0" applyFill="1" applyBorder="1" applyAlignment="1">
      <alignment horizontal="center"/>
    </xf>
    <xf numFmtId="0" fontId="0" fillId="12" borderId="19" xfId="0" applyFill="1" applyBorder="1"/>
    <xf numFmtId="0" fontId="0" fillId="12" borderId="17" xfId="0" applyFill="1" applyBorder="1"/>
    <xf numFmtId="0" fontId="0" fillId="12" borderId="18" xfId="0" applyFill="1" applyBorder="1"/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23" borderId="1" xfId="0" applyFill="1" applyBorder="1"/>
    <xf numFmtId="0" fontId="0" fillId="23" borderId="2" xfId="0" applyFill="1" applyBorder="1"/>
    <xf numFmtId="0" fontId="0" fillId="23" borderId="3" xfId="0" applyFill="1" applyBorder="1"/>
    <xf numFmtId="0" fontId="0" fillId="23" borderId="4" xfId="0" applyFill="1" applyBorder="1" applyAlignment="1"/>
    <xf numFmtId="0" fontId="0" fillId="23" borderId="5" xfId="0" applyFill="1" applyBorder="1" applyAlignment="1"/>
    <xf numFmtId="0" fontId="0" fillId="23" borderId="19" xfId="0" applyFill="1" applyBorder="1" applyAlignment="1"/>
    <xf numFmtId="0" fontId="0" fillId="23" borderId="18" xfId="0" applyFill="1" applyBorder="1" applyAlignment="1"/>
    <xf numFmtId="0" fontId="4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4" borderId="0" xfId="0" applyFill="1" applyAlignment="1">
      <alignment horizontal="center" vertical="center" wrapText="1"/>
    </xf>
    <xf numFmtId="0" fontId="0" fillId="13" borderId="0" xfId="0" applyFill="1" applyBorder="1"/>
    <xf numFmtId="0" fontId="0" fillId="13" borderId="0" xfId="0" applyFill="1" applyBorder="1" applyAlignment="1"/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AppData\Roaming\Microsoft\AddIns\CoolProp.xlam" TargetMode="External"/><Relationship Id="rId1" Type="http://schemas.openxmlformats.org/officeDocument/2006/relationships/externalLinkPath" Target="file:///C:\Users\franc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7C88-9E38-47B1-8238-A6D33BAC1632}">
  <dimension ref="A2:AF29"/>
  <sheetViews>
    <sheetView workbookViewId="0">
      <selection activeCell="C30" sqref="C30"/>
    </sheetView>
  </sheetViews>
  <sheetFormatPr defaultRowHeight="14.4" x14ac:dyDescent="0.3"/>
  <cols>
    <col min="1" max="1" width="30.109375" customWidth="1"/>
  </cols>
  <sheetData>
    <row r="2" spans="1:32" ht="15" thickBot="1" x14ac:dyDescent="0.35"/>
    <row r="3" spans="1:32" x14ac:dyDescent="0.3">
      <c r="B3" s="1"/>
      <c r="C3" s="2"/>
      <c r="D3" s="2"/>
      <c r="E3" s="2"/>
      <c r="F3" s="2" t="s">
        <v>0</v>
      </c>
      <c r="G3" s="2"/>
      <c r="H3" s="2"/>
      <c r="I3" s="2"/>
      <c r="J3" s="2"/>
      <c r="K3" s="2"/>
      <c r="L3" s="2"/>
      <c r="M3" s="2"/>
      <c r="N3" s="2"/>
      <c r="O3" s="3"/>
      <c r="Q3" s="1"/>
      <c r="R3" s="43" t="s">
        <v>1</v>
      </c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</row>
    <row r="4" spans="1:32" ht="15" thickBot="1" x14ac:dyDescent="0.35">
      <c r="B4" s="4"/>
      <c r="H4" t="s">
        <v>72</v>
      </c>
      <c r="J4">
        <v>3.72</v>
      </c>
      <c r="O4" s="5"/>
      <c r="P4" s="6" t="s">
        <v>2</v>
      </c>
      <c r="Q4" s="4"/>
      <c r="AF4" s="5"/>
    </row>
    <row r="5" spans="1:32" ht="15" thickBot="1" x14ac:dyDescent="0.35">
      <c r="B5" s="45" t="s">
        <v>3</v>
      </c>
      <c r="C5" s="46"/>
      <c r="D5" s="46"/>
      <c r="E5" s="46"/>
      <c r="F5" s="47"/>
      <c r="H5" s="48" t="s">
        <v>28</v>
      </c>
      <c r="I5" s="49"/>
      <c r="J5" s="50"/>
      <c r="L5" s="66" t="s">
        <v>4</v>
      </c>
      <c r="M5" s="67"/>
      <c r="N5" s="68"/>
      <c r="O5" s="5"/>
      <c r="P5" s="6" t="s">
        <v>2</v>
      </c>
      <c r="Q5" s="4"/>
      <c r="R5" s="51" t="s">
        <v>5</v>
      </c>
      <c r="S5" s="52"/>
      <c r="T5" s="52"/>
      <c r="U5" s="52"/>
      <c r="V5" s="53"/>
      <c r="X5" s="48" t="s">
        <v>28</v>
      </c>
      <c r="Y5" s="49"/>
      <c r="Z5" s="50"/>
      <c r="AB5" s="82" t="s">
        <v>6</v>
      </c>
      <c r="AC5" s="83"/>
      <c r="AD5" s="83"/>
      <c r="AE5" s="83"/>
      <c r="AF5" s="84"/>
    </row>
    <row r="6" spans="1:32" x14ac:dyDescent="0.3">
      <c r="B6" s="7" t="s">
        <v>7</v>
      </c>
      <c r="C6" s="54" t="s">
        <v>8</v>
      </c>
      <c r="D6" s="55"/>
      <c r="E6" s="55"/>
      <c r="F6" s="56"/>
      <c r="H6" s="8" t="s">
        <v>9</v>
      </c>
      <c r="I6" s="57" t="s">
        <v>10</v>
      </c>
      <c r="J6" s="58"/>
      <c r="L6" s="85" t="s">
        <v>9</v>
      </c>
      <c r="M6" s="62" t="s">
        <v>10</v>
      </c>
      <c r="N6" s="63"/>
      <c r="O6" s="5"/>
      <c r="P6" s="6" t="s">
        <v>2</v>
      </c>
      <c r="Q6" s="4"/>
      <c r="R6" s="9" t="s">
        <v>7</v>
      </c>
      <c r="S6" s="59" t="s">
        <v>11</v>
      </c>
      <c r="T6" s="60"/>
      <c r="U6" s="60"/>
      <c r="V6" s="61"/>
      <c r="X6" s="8" t="s">
        <v>9</v>
      </c>
      <c r="Y6" s="57" t="s">
        <v>10</v>
      </c>
      <c r="Z6" s="58"/>
      <c r="AB6" s="91" t="s">
        <v>12</v>
      </c>
      <c r="AC6" s="87" t="s">
        <v>11</v>
      </c>
      <c r="AD6" s="87"/>
      <c r="AE6" s="87"/>
      <c r="AF6" s="88"/>
    </row>
    <row r="7" spans="1:32" ht="15" thickBot="1" x14ac:dyDescent="0.35">
      <c r="B7" s="10">
        <v>1</v>
      </c>
      <c r="C7" s="11" t="s">
        <v>13</v>
      </c>
      <c r="D7" s="11">
        <v>1</v>
      </c>
      <c r="E7" s="11" t="s">
        <v>14</v>
      </c>
      <c r="F7" s="12">
        <v>4</v>
      </c>
      <c r="H7" s="13">
        <f>J4*L7</f>
        <v>7.44</v>
      </c>
      <c r="I7" s="14" t="s">
        <v>25</v>
      </c>
      <c r="J7" s="15">
        <v>2</v>
      </c>
      <c r="L7" s="86">
        <f>(V8+AF8) / 2</f>
        <v>2</v>
      </c>
      <c r="M7" s="64" t="s">
        <v>15</v>
      </c>
      <c r="N7" s="65">
        <v>2</v>
      </c>
      <c r="O7" s="5"/>
      <c r="P7" s="6" t="s">
        <v>2</v>
      </c>
      <c r="Q7" s="4"/>
      <c r="R7" s="16">
        <f>D8</f>
        <v>1</v>
      </c>
      <c r="S7" s="17" t="s">
        <v>13</v>
      </c>
      <c r="T7" s="18">
        <v>1</v>
      </c>
      <c r="U7" s="18" t="s">
        <v>15</v>
      </c>
      <c r="V7" s="19">
        <v>2</v>
      </c>
      <c r="X7" s="13">
        <f>H7</f>
        <v>7.44</v>
      </c>
      <c r="Y7" s="14" t="s">
        <v>25</v>
      </c>
      <c r="Z7" s="15">
        <v>2</v>
      </c>
      <c r="AB7" s="92">
        <f>F8/AD7</f>
        <v>2</v>
      </c>
      <c r="AC7" s="89" t="s">
        <v>14</v>
      </c>
      <c r="AD7" s="89">
        <v>2</v>
      </c>
      <c r="AE7" s="89" t="s">
        <v>15</v>
      </c>
      <c r="AF7" s="90">
        <v>1</v>
      </c>
    </row>
    <row r="8" spans="1:32" ht="15" thickBot="1" x14ac:dyDescent="0.35">
      <c r="A8" t="s">
        <v>16</v>
      </c>
      <c r="B8" s="21"/>
      <c r="C8" s="22"/>
      <c r="D8" s="22">
        <f>D7*B7</f>
        <v>1</v>
      </c>
      <c r="E8" s="22"/>
      <c r="F8" s="22">
        <f>F7*B7</f>
        <v>4</v>
      </c>
      <c r="G8" s="22"/>
      <c r="H8" s="22"/>
      <c r="I8" s="22"/>
      <c r="J8" s="22"/>
      <c r="K8" s="22"/>
      <c r="L8" s="22"/>
      <c r="M8" s="22"/>
      <c r="N8" s="22">
        <f>N7*L7</f>
        <v>4</v>
      </c>
      <c r="O8" s="23"/>
      <c r="Q8" s="21"/>
      <c r="R8" s="22"/>
      <c r="S8" s="22"/>
      <c r="T8" s="22">
        <f>T7*R7</f>
        <v>1</v>
      </c>
      <c r="U8" s="22"/>
      <c r="V8" s="22">
        <f>V7*R7</f>
        <v>2</v>
      </c>
      <c r="W8" s="22"/>
      <c r="X8" s="22"/>
      <c r="Y8" s="22"/>
      <c r="Z8" s="22"/>
      <c r="AA8" s="22"/>
      <c r="AB8" s="22"/>
      <c r="AC8" s="22"/>
      <c r="AD8" s="22">
        <f>AD7*AB7</f>
        <v>4</v>
      </c>
      <c r="AE8" s="22"/>
      <c r="AF8" s="23">
        <f>AF7*AB7</f>
        <v>2</v>
      </c>
    </row>
    <row r="9" spans="1:32" ht="15" thickBot="1" x14ac:dyDescent="0.35"/>
    <row r="10" spans="1:32" x14ac:dyDescent="0.3">
      <c r="A10" s="69" t="s">
        <v>17</v>
      </c>
      <c r="B10" s="71"/>
      <c r="C10" s="72">
        <v>-74.849999999999994</v>
      </c>
      <c r="D10" s="73"/>
      <c r="E10" s="73"/>
      <c r="F10" s="74"/>
      <c r="G10" s="71"/>
      <c r="H10" s="71"/>
      <c r="I10" s="72">
        <v>0</v>
      </c>
      <c r="J10" s="74"/>
      <c r="K10" s="71"/>
      <c r="L10" s="71"/>
      <c r="M10" s="72">
        <v>0</v>
      </c>
      <c r="N10" s="74"/>
      <c r="O10" s="71"/>
      <c r="P10" s="71" t="s">
        <v>2</v>
      </c>
      <c r="Q10" s="71"/>
      <c r="R10" s="71"/>
      <c r="S10" s="72">
        <v>-393</v>
      </c>
      <c r="T10" s="73"/>
      <c r="U10" s="73"/>
      <c r="V10" s="74"/>
      <c r="W10" s="71"/>
      <c r="X10" s="71"/>
      <c r="Y10" s="72">
        <v>0</v>
      </c>
      <c r="Z10" s="74"/>
      <c r="AA10" s="71"/>
      <c r="AB10" s="71"/>
      <c r="AC10" s="72">
        <v>-241.81</v>
      </c>
      <c r="AD10" s="73"/>
      <c r="AE10" s="73"/>
      <c r="AF10" s="74"/>
    </row>
    <row r="11" spans="1:32" ht="29.4" thickBot="1" x14ac:dyDescent="0.35">
      <c r="A11" s="70" t="s">
        <v>18</v>
      </c>
      <c r="B11" s="71"/>
      <c r="C11" s="75">
        <f>C10*B7</f>
        <v>-74.849999999999994</v>
      </c>
      <c r="D11" s="76"/>
      <c r="E11" s="76"/>
      <c r="F11" s="77"/>
      <c r="G11" s="71"/>
      <c r="H11" s="71"/>
      <c r="I11" s="75">
        <v>0</v>
      </c>
      <c r="J11" s="77"/>
      <c r="K11" s="71"/>
      <c r="L11" s="71"/>
      <c r="M11" s="75">
        <f>L7*M10</f>
        <v>0</v>
      </c>
      <c r="N11" s="77"/>
      <c r="O11" s="71"/>
      <c r="P11" s="71" t="s">
        <v>2</v>
      </c>
      <c r="Q11" s="71"/>
      <c r="R11" s="71"/>
      <c r="S11" s="75">
        <f>S10*R7</f>
        <v>-393</v>
      </c>
      <c r="T11" s="76"/>
      <c r="U11" s="76"/>
      <c r="V11" s="77"/>
      <c r="W11" s="78"/>
      <c r="X11" s="78"/>
      <c r="Y11" s="75">
        <v>0</v>
      </c>
      <c r="Z11" s="77"/>
      <c r="AA11" s="78"/>
      <c r="AB11" s="78"/>
      <c r="AC11" s="75">
        <f>AC10*AB7</f>
        <v>-483.62</v>
      </c>
      <c r="AD11" s="76"/>
      <c r="AE11" s="76"/>
      <c r="AF11" s="77"/>
    </row>
    <row r="12" spans="1:32" ht="15" thickBot="1" x14ac:dyDescent="0.35"/>
    <row r="13" spans="1:32" ht="29.4" thickBot="1" x14ac:dyDescent="0.35">
      <c r="A13" s="70" t="s">
        <v>19</v>
      </c>
      <c r="B13" s="79">
        <f>C11+M11</f>
        <v>-74.849999999999994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1"/>
      <c r="P13" s="71"/>
      <c r="Q13" s="79">
        <f>S11+AC11</f>
        <v>-876.62</v>
      </c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1"/>
    </row>
    <row r="14" spans="1:32" ht="15" thickBot="1" x14ac:dyDescent="0.35"/>
    <row r="15" spans="1:32" ht="29.4" thickBot="1" x14ac:dyDescent="0.35">
      <c r="A15" s="70" t="s">
        <v>20</v>
      </c>
      <c r="B15" s="79">
        <f>Q13-B13</f>
        <v>-801.77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1"/>
    </row>
    <row r="17" spans="1:32" ht="15" thickBot="1" x14ac:dyDescent="0.35"/>
    <row r="18" spans="1:32" ht="15" thickBot="1" x14ac:dyDescent="0.35">
      <c r="A18" s="25" t="s">
        <v>21</v>
      </c>
      <c r="B18" s="26"/>
      <c r="C18" s="40">
        <f>D7*C21+F7*F21</f>
        <v>16.032</v>
      </c>
      <c r="D18" s="41"/>
      <c r="E18" s="41"/>
      <c r="F18" s="42"/>
      <c r="G18" s="26"/>
      <c r="H18" s="26"/>
      <c r="I18" s="40">
        <f>J7*J21</f>
        <v>28</v>
      </c>
      <c r="J18" s="42"/>
      <c r="K18" s="26"/>
      <c r="L18" s="26"/>
      <c r="M18" s="40">
        <f>N7*M21</f>
        <v>32</v>
      </c>
      <c r="N18" s="42"/>
      <c r="O18" s="27" t="s">
        <v>22</v>
      </c>
      <c r="P18" s="26"/>
      <c r="Q18" s="27" t="s">
        <v>22</v>
      </c>
      <c r="R18" s="26"/>
      <c r="S18" s="40">
        <f>T7*C21+V7*M21</f>
        <v>44</v>
      </c>
      <c r="T18" s="41"/>
      <c r="U18" s="41"/>
      <c r="V18" s="42"/>
      <c r="W18" s="26"/>
      <c r="X18" s="26"/>
      <c r="Y18" s="40">
        <f>J21*Z7</f>
        <v>28</v>
      </c>
      <c r="Z18" s="42"/>
      <c r="AA18" s="26"/>
      <c r="AB18" s="26"/>
      <c r="AC18" s="40">
        <f>AD7*F21+AF7*M21</f>
        <v>18.015999999999998</v>
      </c>
      <c r="AD18" s="41"/>
      <c r="AE18" s="41"/>
      <c r="AF18" s="42"/>
    </row>
    <row r="19" spans="1:32" ht="29.4" thickBot="1" x14ac:dyDescent="0.35">
      <c r="A19" s="28" t="s">
        <v>23</v>
      </c>
      <c r="B19" s="26"/>
      <c r="C19" s="37">
        <f>C18*B7</f>
        <v>16.032</v>
      </c>
      <c r="D19" s="38"/>
      <c r="E19" s="38"/>
      <c r="F19" s="39"/>
      <c r="G19" s="26"/>
      <c r="H19" s="26"/>
      <c r="I19" s="37">
        <f>I18*H7</f>
        <v>208.32000000000002</v>
      </c>
      <c r="J19" s="39"/>
      <c r="K19" s="26"/>
      <c r="L19" s="26"/>
      <c r="M19" s="37">
        <f>M18*L7</f>
        <v>64</v>
      </c>
      <c r="N19" s="39"/>
      <c r="O19" s="29">
        <f>M19+C19+I19</f>
        <v>288.35200000000003</v>
      </c>
      <c r="P19" s="26"/>
      <c r="Q19" s="29">
        <f>S19+AC19+Y19</f>
        <v>288.35200000000003</v>
      </c>
      <c r="R19" s="26"/>
      <c r="S19" s="37">
        <f>S18*R7</f>
        <v>44</v>
      </c>
      <c r="T19" s="38"/>
      <c r="U19" s="38">
        <f t="shared" ref="U19" si="0">U18*T7</f>
        <v>0</v>
      </c>
      <c r="V19" s="39"/>
      <c r="W19" s="26"/>
      <c r="X19" s="26"/>
      <c r="Y19" s="37">
        <f>Y18*X7</f>
        <v>208.32000000000002</v>
      </c>
      <c r="Z19" s="39"/>
      <c r="AA19" s="26"/>
      <c r="AB19" s="26"/>
      <c r="AC19" s="37">
        <f>AC18*AB7</f>
        <v>36.031999999999996</v>
      </c>
      <c r="AD19" s="38"/>
      <c r="AE19" s="38">
        <f t="shared" ref="AE19" si="1">AE18*AD7</f>
        <v>0</v>
      </c>
      <c r="AF19" s="39"/>
    </row>
    <row r="20" spans="1:32" ht="15" thickBot="1" x14ac:dyDescent="0.35"/>
    <row r="21" spans="1:32" ht="15" thickBot="1" x14ac:dyDescent="0.35">
      <c r="A21" s="30" t="s">
        <v>24</v>
      </c>
      <c r="B21" s="31" t="s">
        <v>13</v>
      </c>
      <c r="C21" s="32">
        <v>12</v>
      </c>
      <c r="D21" s="30"/>
      <c r="E21" s="31" t="s">
        <v>14</v>
      </c>
      <c r="F21" s="32">
        <v>1.008</v>
      </c>
      <c r="G21" s="30"/>
      <c r="H21" s="30"/>
      <c r="I21" s="31" t="s">
        <v>25</v>
      </c>
      <c r="J21" s="32">
        <v>14</v>
      </c>
      <c r="K21" s="30"/>
      <c r="L21" s="31" t="s">
        <v>15</v>
      </c>
      <c r="M21" s="32">
        <v>16</v>
      </c>
      <c r="N21" s="30"/>
      <c r="O21" s="31" t="s">
        <v>25</v>
      </c>
      <c r="P21" s="32">
        <v>14.01</v>
      </c>
    </row>
    <row r="23" spans="1:32" ht="15" thickBot="1" x14ac:dyDescent="0.35"/>
    <row r="24" spans="1:32" ht="15" thickBot="1" x14ac:dyDescent="0.35">
      <c r="A24" s="33" t="s">
        <v>26</v>
      </c>
      <c r="B24" s="34">
        <f>-B15/C19</f>
        <v>50.010603792415168</v>
      </c>
    </row>
    <row r="25" spans="1:32" ht="15" thickBot="1" x14ac:dyDescent="0.35">
      <c r="A25" s="35" t="s">
        <v>27</v>
      </c>
      <c r="B25" s="36">
        <f>B24*1000*1000</f>
        <v>50010603.792415164</v>
      </c>
    </row>
    <row r="26" spans="1:32" ht="15" thickBot="1" x14ac:dyDescent="0.35">
      <c r="A26" s="33" t="s">
        <v>29</v>
      </c>
      <c r="B26" s="34">
        <f>C19/(M19)</f>
        <v>0.2505</v>
      </c>
    </row>
    <row r="27" spans="1:32" ht="15" thickBot="1" x14ac:dyDescent="0.35">
      <c r="A27" s="33" t="s">
        <v>30</v>
      </c>
      <c r="B27" s="34">
        <f>C19/(I19+M19)</f>
        <v>5.8871915393654516E-2</v>
      </c>
    </row>
    <row r="28" spans="1:32" ht="15" thickBot="1" x14ac:dyDescent="0.35">
      <c r="A28" s="33" t="s">
        <v>31</v>
      </c>
      <c r="B28" s="34">
        <f>1/B26</f>
        <v>3.992015968063872</v>
      </c>
    </row>
    <row r="29" spans="1:32" ht="15" thickBot="1" x14ac:dyDescent="0.35">
      <c r="A29" s="33" t="s">
        <v>32</v>
      </c>
      <c r="B29" s="34">
        <f>1/B27</f>
        <v>16.986027944111779</v>
      </c>
    </row>
  </sheetData>
  <mergeCells count="40">
    <mergeCell ref="Y19:Z19"/>
    <mergeCell ref="C6:F6"/>
    <mergeCell ref="M6:N6"/>
    <mergeCell ref="S6:V6"/>
    <mergeCell ref="AC6:AF6"/>
    <mergeCell ref="H5:J5"/>
    <mergeCell ref="I6:J6"/>
    <mergeCell ref="X5:Z5"/>
    <mergeCell ref="Y6:Z6"/>
    <mergeCell ref="R3:AF3"/>
    <mergeCell ref="B5:F5"/>
    <mergeCell ref="L5:N5"/>
    <mergeCell ref="R5:V5"/>
    <mergeCell ref="AB5:AF5"/>
    <mergeCell ref="C10:F10"/>
    <mergeCell ref="M10:N10"/>
    <mergeCell ref="S10:V10"/>
    <mergeCell ref="AC10:AF10"/>
    <mergeCell ref="C11:F11"/>
    <mergeCell ref="M11:N11"/>
    <mergeCell ref="S11:V11"/>
    <mergeCell ref="AC11:AF11"/>
    <mergeCell ref="I10:J10"/>
    <mergeCell ref="I11:J11"/>
    <mergeCell ref="Y10:Z10"/>
    <mergeCell ref="Y11:Z11"/>
    <mergeCell ref="C19:F19"/>
    <mergeCell ref="M19:N19"/>
    <mergeCell ref="S19:V19"/>
    <mergeCell ref="AC19:AF19"/>
    <mergeCell ref="B13:O13"/>
    <mergeCell ref="Q13:AF13"/>
    <mergeCell ref="B15:AF15"/>
    <mergeCell ref="C18:F18"/>
    <mergeCell ref="M18:N18"/>
    <mergeCell ref="S18:V18"/>
    <mergeCell ref="AC18:AF18"/>
    <mergeCell ref="I18:J18"/>
    <mergeCell ref="I19:J19"/>
    <mergeCell ref="Y18:Z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5804-EF79-4D2A-9A15-37A9953A5ACE}">
  <dimension ref="A2:AF29"/>
  <sheetViews>
    <sheetView topLeftCell="A15" workbookViewId="0">
      <selection activeCell="H8" sqref="H8"/>
    </sheetView>
  </sheetViews>
  <sheetFormatPr defaultRowHeight="14.4" x14ac:dyDescent="0.3"/>
  <cols>
    <col min="1" max="1" width="30.109375" customWidth="1"/>
  </cols>
  <sheetData>
    <row r="2" spans="1:32" ht="15" thickBot="1" x14ac:dyDescent="0.35"/>
    <row r="3" spans="1:32" x14ac:dyDescent="0.3">
      <c r="B3" s="1"/>
      <c r="C3" s="2"/>
      <c r="D3" s="2"/>
      <c r="E3" s="2"/>
      <c r="F3" s="2" t="s">
        <v>0</v>
      </c>
      <c r="G3" s="2"/>
      <c r="H3" s="2"/>
      <c r="I3" s="2"/>
      <c r="J3" s="2"/>
      <c r="K3" s="2"/>
      <c r="L3" s="2"/>
      <c r="M3" s="2"/>
      <c r="N3" s="2"/>
      <c r="O3" s="3"/>
      <c r="Q3" s="1"/>
      <c r="R3" s="43" t="s">
        <v>1</v>
      </c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</row>
    <row r="4" spans="1:32" ht="15" thickBot="1" x14ac:dyDescent="0.35">
      <c r="B4" s="4"/>
      <c r="H4" t="s">
        <v>72</v>
      </c>
      <c r="J4">
        <v>3.72</v>
      </c>
      <c r="O4" s="5"/>
      <c r="P4" s="6" t="s">
        <v>2</v>
      </c>
      <c r="Q4" s="4"/>
      <c r="AF4" s="5"/>
    </row>
    <row r="5" spans="1:32" ht="15" thickBot="1" x14ac:dyDescent="0.35">
      <c r="B5" s="45" t="s">
        <v>3</v>
      </c>
      <c r="C5" s="46"/>
      <c r="D5" s="46"/>
      <c r="E5" s="46"/>
      <c r="F5" s="47"/>
      <c r="H5" s="48" t="s">
        <v>28</v>
      </c>
      <c r="I5" s="49"/>
      <c r="J5" s="50"/>
      <c r="L5" s="66" t="s">
        <v>4</v>
      </c>
      <c r="M5" s="67"/>
      <c r="N5" s="68"/>
      <c r="O5" s="5"/>
      <c r="P5" s="6" t="s">
        <v>2</v>
      </c>
      <c r="Q5" s="4"/>
      <c r="R5" s="51" t="s">
        <v>5</v>
      </c>
      <c r="S5" s="52"/>
      <c r="T5" s="52"/>
      <c r="U5" s="52"/>
      <c r="V5" s="53"/>
      <c r="X5" s="48" t="s">
        <v>28</v>
      </c>
      <c r="Y5" s="49"/>
      <c r="Z5" s="50"/>
      <c r="AB5" s="82" t="s">
        <v>6</v>
      </c>
      <c r="AC5" s="83"/>
      <c r="AD5" s="83"/>
      <c r="AE5" s="83"/>
      <c r="AF5" s="84"/>
    </row>
    <row r="6" spans="1:32" x14ac:dyDescent="0.3">
      <c r="B6" s="7" t="s">
        <v>7</v>
      </c>
      <c r="C6" s="54" t="s">
        <v>8</v>
      </c>
      <c r="D6" s="55"/>
      <c r="E6" s="55"/>
      <c r="F6" s="56"/>
      <c r="H6" s="8" t="s">
        <v>9</v>
      </c>
      <c r="I6" s="57" t="s">
        <v>10</v>
      </c>
      <c r="J6" s="58"/>
      <c r="L6" s="85" t="s">
        <v>9</v>
      </c>
      <c r="M6" s="62" t="s">
        <v>10</v>
      </c>
      <c r="N6" s="63"/>
      <c r="O6" s="5"/>
      <c r="P6" s="6" t="s">
        <v>2</v>
      </c>
      <c r="Q6" s="4"/>
      <c r="R6" s="9" t="s">
        <v>7</v>
      </c>
      <c r="S6" s="59" t="s">
        <v>11</v>
      </c>
      <c r="T6" s="60"/>
      <c r="U6" s="60"/>
      <c r="V6" s="61"/>
      <c r="X6" s="8" t="s">
        <v>9</v>
      </c>
      <c r="Y6" s="57" t="s">
        <v>10</v>
      </c>
      <c r="Z6" s="58"/>
      <c r="AB6" s="91" t="s">
        <v>12</v>
      </c>
      <c r="AC6" s="87" t="s">
        <v>11</v>
      </c>
      <c r="AD6" s="87"/>
      <c r="AE6" s="87"/>
      <c r="AF6" s="88"/>
    </row>
    <row r="7" spans="1:32" ht="15" thickBot="1" x14ac:dyDescent="0.35">
      <c r="B7" s="10">
        <v>1</v>
      </c>
      <c r="C7" s="11" t="s">
        <v>13</v>
      </c>
      <c r="D7" s="94">
        <v>0</v>
      </c>
      <c r="E7" s="11" t="s">
        <v>14</v>
      </c>
      <c r="F7" s="12">
        <v>2</v>
      </c>
      <c r="H7" s="13">
        <f>J4*L7</f>
        <v>1.86</v>
      </c>
      <c r="I7" s="14" t="s">
        <v>25</v>
      </c>
      <c r="J7" s="15">
        <v>2</v>
      </c>
      <c r="L7" s="86">
        <f>(V8+AF8) / 2</f>
        <v>0.5</v>
      </c>
      <c r="M7" s="64" t="s">
        <v>15</v>
      </c>
      <c r="N7" s="65">
        <v>2</v>
      </c>
      <c r="O7" s="5"/>
      <c r="P7" s="6" t="s">
        <v>2</v>
      </c>
      <c r="Q7" s="4"/>
      <c r="R7" s="16">
        <f>D8</f>
        <v>0</v>
      </c>
      <c r="S7" s="17" t="s">
        <v>13</v>
      </c>
      <c r="T7" s="18">
        <v>1</v>
      </c>
      <c r="U7" s="18" t="s">
        <v>15</v>
      </c>
      <c r="V7" s="19">
        <v>2</v>
      </c>
      <c r="X7" s="13">
        <f>H7</f>
        <v>1.86</v>
      </c>
      <c r="Y7" s="14" t="s">
        <v>25</v>
      </c>
      <c r="Z7" s="15">
        <v>2</v>
      </c>
      <c r="AB7" s="92">
        <f>F8/AD7</f>
        <v>1</v>
      </c>
      <c r="AC7" s="89" t="s">
        <v>14</v>
      </c>
      <c r="AD7" s="89">
        <v>2</v>
      </c>
      <c r="AE7" s="89" t="s">
        <v>15</v>
      </c>
      <c r="AF7" s="90">
        <v>1</v>
      </c>
    </row>
    <row r="8" spans="1:32" ht="15" thickBot="1" x14ac:dyDescent="0.35">
      <c r="A8" t="s">
        <v>16</v>
      </c>
      <c r="B8" s="21"/>
      <c r="C8" s="22"/>
      <c r="D8" s="22">
        <f>D7*B7</f>
        <v>0</v>
      </c>
      <c r="E8" s="22"/>
      <c r="F8" s="22">
        <f>F7*B7</f>
        <v>2</v>
      </c>
      <c r="G8" s="22"/>
      <c r="H8" s="22"/>
      <c r="I8" s="22"/>
      <c r="J8" s="22"/>
      <c r="K8" s="22"/>
      <c r="L8" s="22"/>
      <c r="M8" s="22"/>
      <c r="N8" s="22">
        <f>N7*L7</f>
        <v>1</v>
      </c>
      <c r="O8" s="23"/>
      <c r="Q8" s="21"/>
      <c r="R8" s="22"/>
      <c r="S8" s="22"/>
      <c r="T8" s="22">
        <f>T7*R7</f>
        <v>0</v>
      </c>
      <c r="U8" s="22"/>
      <c r="V8" s="22">
        <f>V7*R7</f>
        <v>0</v>
      </c>
      <c r="W8" s="22"/>
      <c r="X8" s="22"/>
      <c r="Y8" s="22"/>
      <c r="Z8" s="22"/>
      <c r="AA8" s="22"/>
      <c r="AB8" s="22"/>
      <c r="AC8" s="22"/>
      <c r="AD8" s="22">
        <f>AD7*AB7</f>
        <v>2</v>
      </c>
      <c r="AE8" s="22"/>
      <c r="AF8" s="23">
        <f>AF7*AB7</f>
        <v>1</v>
      </c>
    </row>
    <row r="9" spans="1:32" ht="15" thickBot="1" x14ac:dyDescent="0.35"/>
    <row r="10" spans="1:32" x14ac:dyDescent="0.3">
      <c r="A10" s="69" t="s">
        <v>17</v>
      </c>
      <c r="B10" s="71"/>
      <c r="C10" s="72">
        <v>0</v>
      </c>
      <c r="D10" s="73"/>
      <c r="E10" s="73"/>
      <c r="F10" s="74"/>
      <c r="G10" s="71"/>
      <c r="H10" s="71"/>
      <c r="I10" s="72">
        <v>0</v>
      </c>
      <c r="J10" s="74"/>
      <c r="K10" s="71"/>
      <c r="L10" s="71"/>
      <c r="M10" s="72">
        <v>0</v>
      </c>
      <c r="N10" s="74"/>
      <c r="O10" s="71"/>
      <c r="P10" s="71" t="s">
        <v>2</v>
      </c>
      <c r="Q10" s="71"/>
      <c r="R10" s="71"/>
      <c r="S10" s="72">
        <v>-393</v>
      </c>
      <c r="T10" s="73"/>
      <c r="U10" s="73"/>
      <c r="V10" s="74"/>
      <c r="W10" s="71"/>
      <c r="X10" s="71"/>
      <c r="Y10" s="72">
        <v>0</v>
      </c>
      <c r="Z10" s="74"/>
      <c r="AA10" s="71"/>
      <c r="AB10" s="71"/>
      <c r="AC10" s="72">
        <v>-241.81</v>
      </c>
      <c r="AD10" s="73"/>
      <c r="AE10" s="73"/>
      <c r="AF10" s="74"/>
    </row>
    <row r="11" spans="1:32" ht="29.4" thickBot="1" x14ac:dyDescent="0.35">
      <c r="A11" s="70" t="s">
        <v>18</v>
      </c>
      <c r="B11" s="71"/>
      <c r="C11" s="75">
        <f>C10*B7</f>
        <v>0</v>
      </c>
      <c r="D11" s="76"/>
      <c r="E11" s="76"/>
      <c r="F11" s="77"/>
      <c r="G11" s="71"/>
      <c r="H11" s="71"/>
      <c r="I11" s="75">
        <v>0</v>
      </c>
      <c r="J11" s="77"/>
      <c r="K11" s="71"/>
      <c r="L11" s="71"/>
      <c r="M11" s="75">
        <f>L7*M10</f>
        <v>0</v>
      </c>
      <c r="N11" s="77"/>
      <c r="O11" s="71"/>
      <c r="P11" s="71" t="s">
        <v>2</v>
      </c>
      <c r="Q11" s="71"/>
      <c r="R11" s="71"/>
      <c r="S11" s="75">
        <f>S10*R7</f>
        <v>0</v>
      </c>
      <c r="T11" s="76"/>
      <c r="U11" s="76"/>
      <c r="V11" s="77"/>
      <c r="W11" s="78"/>
      <c r="X11" s="78"/>
      <c r="Y11" s="75">
        <v>0</v>
      </c>
      <c r="Z11" s="77"/>
      <c r="AA11" s="78"/>
      <c r="AB11" s="78"/>
      <c r="AC11" s="75">
        <f>AC10*AB7</f>
        <v>-241.81</v>
      </c>
      <c r="AD11" s="76"/>
      <c r="AE11" s="76"/>
      <c r="AF11" s="77"/>
    </row>
    <row r="12" spans="1:32" ht="15" thickBot="1" x14ac:dyDescent="0.35"/>
    <row r="13" spans="1:32" ht="29.4" thickBot="1" x14ac:dyDescent="0.35">
      <c r="A13" s="70" t="s">
        <v>19</v>
      </c>
      <c r="B13" s="79">
        <f>C11+M11</f>
        <v>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1"/>
      <c r="P13" s="71"/>
      <c r="Q13" s="79">
        <f>S11+AC11</f>
        <v>-241.81</v>
      </c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1"/>
    </row>
    <row r="14" spans="1:32" ht="15" thickBot="1" x14ac:dyDescent="0.35"/>
    <row r="15" spans="1:32" ht="29.4" thickBot="1" x14ac:dyDescent="0.35">
      <c r="A15" s="70" t="s">
        <v>20</v>
      </c>
      <c r="B15" s="79">
        <f>Q13-B13</f>
        <v>-241.81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1"/>
    </row>
    <row r="17" spans="1:32" ht="15" thickBot="1" x14ac:dyDescent="0.35"/>
    <row r="18" spans="1:32" ht="15" thickBot="1" x14ac:dyDescent="0.35">
      <c r="A18" s="25" t="s">
        <v>21</v>
      </c>
      <c r="B18" s="26"/>
      <c r="C18" s="40">
        <f>D7*C21+F7*F21</f>
        <v>2.016</v>
      </c>
      <c r="D18" s="41"/>
      <c r="E18" s="41"/>
      <c r="F18" s="42"/>
      <c r="G18" s="26"/>
      <c r="H18" s="26"/>
      <c r="I18" s="40">
        <f>J7*J21</f>
        <v>28</v>
      </c>
      <c r="J18" s="42"/>
      <c r="K18" s="26"/>
      <c r="L18" s="26"/>
      <c r="M18" s="40">
        <f>N7*M21</f>
        <v>32</v>
      </c>
      <c r="N18" s="42"/>
      <c r="O18" s="27" t="s">
        <v>22</v>
      </c>
      <c r="P18" s="26"/>
      <c r="Q18" s="27" t="s">
        <v>22</v>
      </c>
      <c r="R18" s="26"/>
      <c r="S18" s="40">
        <f>T7*C21+V7*M21</f>
        <v>44</v>
      </c>
      <c r="T18" s="41"/>
      <c r="U18" s="41"/>
      <c r="V18" s="42"/>
      <c r="W18" s="26"/>
      <c r="X18" s="26"/>
      <c r="Y18" s="40">
        <f>J21*Z7</f>
        <v>28</v>
      </c>
      <c r="Z18" s="42"/>
      <c r="AA18" s="26"/>
      <c r="AB18" s="26"/>
      <c r="AC18" s="40">
        <f>AD7*F21+AF7*M21</f>
        <v>18.015999999999998</v>
      </c>
      <c r="AD18" s="41"/>
      <c r="AE18" s="41"/>
      <c r="AF18" s="42"/>
    </row>
    <row r="19" spans="1:32" ht="29.4" thickBot="1" x14ac:dyDescent="0.35">
      <c r="A19" s="28" t="s">
        <v>23</v>
      </c>
      <c r="B19" s="26"/>
      <c r="C19" s="37">
        <f>C18*B7</f>
        <v>2.016</v>
      </c>
      <c r="D19" s="38"/>
      <c r="E19" s="38"/>
      <c r="F19" s="39"/>
      <c r="G19" s="26"/>
      <c r="H19" s="26"/>
      <c r="I19" s="37">
        <f>I18*H7</f>
        <v>52.080000000000005</v>
      </c>
      <c r="J19" s="39"/>
      <c r="K19" s="26"/>
      <c r="L19" s="26"/>
      <c r="M19" s="37">
        <f>M18*L7</f>
        <v>16</v>
      </c>
      <c r="N19" s="39"/>
      <c r="O19" s="29">
        <f>M19+C19+I19</f>
        <v>70.096000000000004</v>
      </c>
      <c r="P19" s="26"/>
      <c r="Q19" s="29">
        <f>S19+AC19+Y19</f>
        <v>70.096000000000004</v>
      </c>
      <c r="R19" s="26"/>
      <c r="S19" s="37">
        <f>S18*R7</f>
        <v>0</v>
      </c>
      <c r="T19" s="38"/>
      <c r="U19" s="38">
        <f t="shared" ref="U19" si="0">U18*T7</f>
        <v>0</v>
      </c>
      <c r="V19" s="39"/>
      <c r="W19" s="26"/>
      <c r="X19" s="26"/>
      <c r="Y19" s="37">
        <f>Y18*X7</f>
        <v>52.080000000000005</v>
      </c>
      <c r="Z19" s="39"/>
      <c r="AA19" s="26"/>
      <c r="AB19" s="26"/>
      <c r="AC19" s="37">
        <f>AC18*AB7</f>
        <v>18.015999999999998</v>
      </c>
      <c r="AD19" s="38"/>
      <c r="AE19" s="38">
        <f t="shared" ref="AE19" si="1">AE18*AD7</f>
        <v>0</v>
      </c>
      <c r="AF19" s="39"/>
    </row>
    <row r="20" spans="1:32" ht="15" thickBot="1" x14ac:dyDescent="0.35"/>
    <row r="21" spans="1:32" ht="15" thickBot="1" x14ac:dyDescent="0.35">
      <c r="A21" s="30" t="s">
        <v>24</v>
      </c>
      <c r="B21" s="31" t="s">
        <v>13</v>
      </c>
      <c r="C21" s="32">
        <v>12</v>
      </c>
      <c r="D21" s="30"/>
      <c r="E21" s="31" t="s">
        <v>14</v>
      </c>
      <c r="F21" s="32">
        <v>1.008</v>
      </c>
      <c r="G21" s="30"/>
      <c r="H21" s="30"/>
      <c r="I21" s="31" t="s">
        <v>25</v>
      </c>
      <c r="J21" s="32">
        <v>14</v>
      </c>
      <c r="K21" s="30"/>
      <c r="L21" s="31" t="s">
        <v>15</v>
      </c>
      <c r="M21" s="32">
        <v>16</v>
      </c>
      <c r="N21" s="30"/>
      <c r="O21" s="31" t="s">
        <v>25</v>
      </c>
      <c r="P21" s="32">
        <v>14.01</v>
      </c>
    </row>
    <row r="23" spans="1:32" ht="15" thickBot="1" x14ac:dyDescent="0.35"/>
    <row r="24" spans="1:32" ht="15" thickBot="1" x14ac:dyDescent="0.35">
      <c r="A24" s="33" t="s">
        <v>26</v>
      </c>
      <c r="B24" s="34">
        <f>-B15/C19</f>
        <v>119.94543650793651</v>
      </c>
    </row>
    <row r="25" spans="1:32" ht="15" thickBot="1" x14ac:dyDescent="0.35">
      <c r="A25" s="35" t="s">
        <v>27</v>
      </c>
      <c r="B25" s="36">
        <f>B24*1000*1000</f>
        <v>119945436.50793651</v>
      </c>
    </row>
    <row r="26" spans="1:32" ht="15" thickBot="1" x14ac:dyDescent="0.35">
      <c r="A26" s="33" t="s">
        <v>29</v>
      </c>
      <c r="B26" s="34">
        <f>C19/(M19)</f>
        <v>0.126</v>
      </c>
    </row>
    <row r="27" spans="1:32" ht="15" thickBot="1" x14ac:dyDescent="0.35">
      <c r="A27" s="33" t="s">
        <v>30</v>
      </c>
      <c r="B27" s="34">
        <f>C19/(I19+M19)</f>
        <v>2.9612220916568736E-2</v>
      </c>
    </row>
    <row r="28" spans="1:32" ht="15" thickBot="1" x14ac:dyDescent="0.35">
      <c r="A28" s="95" t="s">
        <v>31</v>
      </c>
      <c r="B28" s="96">
        <f>1/B26</f>
        <v>7.9365079365079367</v>
      </c>
    </row>
    <row r="29" spans="1:32" ht="15" thickBot="1" x14ac:dyDescent="0.35">
      <c r="A29" s="97" t="s">
        <v>32</v>
      </c>
      <c r="B29" s="98">
        <f>1/B27</f>
        <v>33.76984126984128</v>
      </c>
    </row>
  </sheetData>
  <mergeCells count="40">
    <mergeCell ref="C19:F19"/>
    <mergeCell ref="I19:J19"/>
    <mergeCell ref="M19:N19"/>
    <mergeCell ref="S19:V19"/>
    <mergeCell ref="Y19:Z19"/>
    <mergeCell ref="AC19:AF19"/>
    <mergeCell ref="B13:O13"/>
    <mergeCell ref="Q13:AF13"/>
    <mergeCell ref="B15:AF15"/>
    <mergeCell ref="C18:F18"/>
    <mergeCell ref="I18:J18"/>
    <mergeCell ref="M18:N18"/>
    <mergeCell ref="S18:V18"/>
    <mergeCell ref="Y18:Z18"/>
    <mergeCell ref="AC18:AF18"/>
    <mergeCell ref="C11:F11"/>
    <mergeCell ref="I11:J11"/>
    <mergeCell ref="M11:N11"/>
    <mergeCell ref="S11:V11"/>
    <mergeCell ref="Y11:Z11"/>
    <mergeCell ref="AC11:AF11"/>
    <mergeCell ref="C10:F10"/>
    <mergeCell ref="I10:J10"/>
    <mergeCell ref="M10:N10"/>
    <mergeCell ref="S10:V10"/>
    <mergeCell ref="Y10:Z10"/>
    <mergeCell ref="AC10:AF10"/>
    <mergeCell ref="C6:F6"/>
    <mergeCell ref="I6:J6"/>
    <mergeCell ref="M6:N6"/>
    <mergeCell ref="S6:V6"/>
    <mergeCell ref="Y6:Z6"/>
    <mergeCell ref="AC6:AF6"/>
    <mergeCell ref="R3:AF3"/>
    <mergeCell ref="B5:F5"/>
    <mergeCell ref="H5:J5"/>
    <mergeCell ref="L5:N5"/>
    <mergeCell ref="R5:V5"/>
    <mergeCell ref="X5:Z5"/>
    <mergeCell ref="AB5:A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279D-988E-4949-B1C3-65816486097A}">
  <dimension ref="A1:Q15"/>
  <sheetViews>
    <sheetView workbookViewId="0">
      <selection activeCell="G14" sqref="G14"/>
    </sheetView>
  </sheetViews>
  <sheetFormatPr defaultRowHeight="14.4" x14ac:dyDescent="0.3"/>
  <cols>
    <col min="1" max="1" width="20" customWidth="1"/>
    <col min="2" max="2" width="11" bestFit="1" customWidth="1"/>
    <col min="3" max="3" width="11.88671875" customWidth="1"/>
    <col min="4" max="4" width="13.5546875" customWidth="1"/>
    <col min="5" max="5" width="14" customWidth="1"/>
    <col min="6" max="6" width="17.88671875" customWidth="1"/>
    <col min="7" max="7" width="13.44140625" customWidth="1"/>
    <col min="8" max="8" width="12.88671875" customWidth="1"/>
    <col min="9" max="9" width="14.88671875" customWidth="1"/>
    <col min="10" max="10" width="15.77734375" customWidth="1"/>
    <col min="11" max="11" width="16" customWidth="1"/>
    <col min="12" max="12" width="11.109375" customWidth="1"/>
  </cols>
  <sheetData>
    <row r="1" spans="1:17" ht="15" thickBot="1" x14ac:dyDescent="0.35"/>
    <row r="2" spans="1:17" ht="15" thickBot="1" x14ac:dyDescent="0.35">
      <c r="A2" s="114" t="s">
        <v>38</v>
      </c>
      <c r="B2" s="115"/>
      <c r="C2" s="116"/>
      <c r="F2" s="108" t="s">
        <v>46</v>
      </c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10"/>
    </row>
    <row r="3" spans="1:17" ht="15" thickBot="1" x14ac:dyDescent="0.35">
      <c r="A3" s="111" t="s">
        <v>33</v>
      </c>
      <c r="B3" s="112">
        <v>1000</v>
      </c>
      <c r="C3" s="113" t="s">
        <v>34</v>
      </c>
      <c r="F3" s="100" t="s">
        <v>35</v>
      </c>
      <c r="G3" s="93">
        <f>'Chemestry CH4'!B24</f>
        <v>50.010603792415168</v>
      </c>
      <c r="H3" s="101" t="s">
        <v>36</v>
      </c>
      <c r="I3" s="117" t="s">
        <v>51</v>
      </c>
      <c r="J3" s="118">
        <v>0</v>
      </c>
      <c r="K3" s="119" t="s">
        <v>13</v>
      </c>
      <c r="L3" s="117" t="s">
        <v>55</v>
      </c>
      <c r="M3" s="118">
        <v>300</v>
      </c>
      <c r="N3" s="119" t="s">
        <v>63</v>
      </c>
      <c r="O3" s="117" t="s">
        <v>57</v>
      </c>
      <c r="P3" s="130">
        <v>21</v>
      </c>
      <c r="Q3" s="119" t="s">
        <v>59</v>
      </c>
    </row>
    <row r="4" spans="1:17" x14ac:dyDescent="0.3">
      <c r="F4" s="100" t="s">
        <v>35</v>
      </c>
      <c r="G4" s="93">
        <f>G3*1000</f>
        <v>50010.603792415168</v>
      </c>
      <c r="H4" s="101" t="s">
        <v>37</v>
      </c>
      <c r="I4" s="102" t="s">
        <v>52</v>
      </c>
      <c r="J4" s="103">
        <v>1013.25</v>
      </c>
      <c r="K4" s="104" t="s">
        <v>50</v>
      </c>
      <c r="L4" s="102" t="s">
        <v>56</v>
      </c>
      <c r="M4" s="103">
        <v>1</v>
      </c>
      <c r="N4" s="104" t="s">
        <v>64</v>
      </c>
      <c r="O4" s="102" t="s">
        <v>58</v>
      </c>
      <c r="P4" s="103">
        <v>50</v>
      </c>
      <c r="Q4" s="104" t="s">
        <v>47</v>
      </c>
    </row>
    <row r="5" spans="1:17" x14ac:dyDescent="0.3">
      <c r="F5" s="102" t="s">
        <v>39</v>
      </c>
      <c r="G5" s="103">
        <f>B3/G4</f>
        <v>1.9995759382366515E-2</v>
      </c>
      <c r="H5" s="104" t="s">
        <v>40</v>
      </c>
      <c r="I5" s="102" t="s">
        <v>51</v>
      </c>
      <c r="J5" s="103">
        <f>J3+273.15</f>
        <v>273.14999999999998</v>
      </c>
      <c r="K5" s="104" t="s">
        <v>53</v>
      </c>
      <c r="L5" s="102" t="s">
        <v>55</v>
      </c>
      <c r="M5" s="103">
        <f>M3</f>
        <v>300</v>
      </c>
      <c r="N5" s="104" t="s">
        <v>53</v>
      </c>
      <c r="O5" s="102" t="s">
        <v>60</v>
      </c>
      <c r="P5" s="103">
        <f>P3/1000</f>
        <v>2.1000000000000001E-2</v>
      </c>
      <c r="Q5" s="104" t="s">
        <v>61</v>
      </c>
    </row>
    <row r="6" spans="1:17" x14ac:dyDescent="0.3">
      <c r="F6" s="102" t="s">
        <v>41</v>
      </c>
      <c r="G6" s="128">
        <f>G5*'Chemestry CH4'!B29</f>
        <v>0.33964852763261294</v>
      </c>
      <c r="H6" s="104" t="s">
        <v>42</v>
      </c>
      <c r="I6" s="102" t="s">
        <v>52</v>
      </c>
      <c r="J6" s="103">
        <f>J4*100</f>
        <v>101325</v>
      </c>
      <c r="K6" s="104" t="s">
        <v>54</v>
      </c>
      <c r="L6" s="102" t="s">
        <v>56</v>
      </c>
      <c r="M6" s="103">
        <f>M4*101325</f>
        <v>101325</v>
      </c>
      <c r="N6" s="104" t="s">
        <v>54</v>
      </c>
      <c r="O6" s="102" t="s">
        <v>62</v>
      </c>
      <c r="P6" s="103">
        <f>P5*P4</f>
        <v>1.05</v>
      </c>
      <c r="Q6" s="104" t="s">
        <v>61</v>
      </c>
    </row>
    <row r="7" spans="1:17" x14ac:dyDescent="0.3">
      <c r="F7" s="102" t="s">
        <v>71</v>
      </c>
      <c r="G7" s="128">
        <f>'Chemestry CH4'!B27</f>
        <v>5.8871915393654516E-2</v>
      </c>
      <c r="H7" s="104" t="s">
        <v>47</v>
      </c>
      <c r="I7" s="120" t="s">
        <v>65</v>
      </c>
      <c r="J7" s="129">
        <f>[1]!PropsSI("D", "T", J5, "P", J6, "Methane")</f>
        <v>0.71745877714291661</v>
      </c>
      <c r="K7" s="121" t="s">
        <v>67</v>
      </c>
      <c r="L7" s="120" t="s">
        <v>65</v>
      </c>
      <c r="M7" s="129">
        <f>[1]!PropsSI("D", "T", M5, "P", M6, "Methane")</f>
        <v>0.65280527207610994</v>
      </c>
      <c r="N7" s="121" t="s">
        <v>67</v>
      </c>
      <c r="O7" s="102" t="s">
        <v>73</v>
      </c>
      <c r="P7" s="103">
        <v>28.97</v>
      </c>
      <c r="Q7" s="104" t="s">
        <v>74</v>
      </c>
    </row>
    <row r="8" spans="1:17" ht="15" thickBot="1" x14ac:dyDescent="0.35">
      <c r="F8" s="105" t="s">
        <v>75</v>
      </c>
      <c r="G8" s="106">
        <v>8.3140000000000001</v>
      </c>
      <c r="H8" s="107" t="s">
        <v>76</v>
      </c>
      <c r="I8" s="122" t="s">
        <v>66</v>
      </c>
      <c r="J8" s="106">
        <f>[1]!PropsSI("D", "T", J5, "P", J6, "air")</f>
        <v>1.2930656163292633</v>
      </c>
      <c r="K8" s="123" t="s">
        <v>67</v>
      </c>
      <c r="L8" s="122" t="s">
        <v>66</v>
      </c>
      <c r="M8" s="106">
        <f>[1]!PropsSI("D", "T", M5, "P", M6, "air")</f>
        <v>1.1769955883877592</v>
      </c>
      <c r="N8" s="123" t="s">
        <v>67</v>
      </c>
      <c r="O8" s="105" t="s">
        <v>83</v>
      </c>
      <c r="P8" s="20">
        <f>'Chemestry CH4'!C18</f>
        <v>16.032</v>
      </c>
      <c r="Q8" s="104" t="s">
        <v>74</v>
      </c>
    </row>
    <row r="10" spans="1:17" x14ac:dyDescent="0.3">
      <c r="E10" s="99"/>
    </row>
    <row r="11" spans="1:17" ht="15" customHeight="1" x14ac:dyDescent="0.3"/>
    <row r="12" spans="1:17" ht="45.6" customHeight="1" x14ac:dyDescent="0.3">
      <c r="A12" s="124" t="s">
        <v>43</v>
      </c>
      <c r="B12" s="125" t="s">
        <v>44</v>
      </c>
      <c r="C12" s="125" t="s">
        <v>45</v>
      </c>
      <c r="D12" s="125" t="s">
        <v>49</v>
      </c>
      <c r="E12" s="125" t="s">
        <v>48</v>
      </c>
      <c r="F12" s="125" t="s">
        <v>68</v>
      </c>
      <c r="G12" s="125" t="s">
        <v>69</v>
      </c>
      <c r="H12" s="125" t="s">
        <v>70</v>
      </c>
      <c r="I12" s="127" t="s">
        <v>80</v>
      </c>
      <c r="J12" s="127" t="s">
        <v>81</v>
      </c>
      <c r="K12" s="127" t="s">
        <v>82</v>
      </c>
      <c r="L12" s="127" t="s">
        <v>77</v>
      </c>
      <c r="M12" s="127" t="s">
        <v>78</v>
      </c>
      <c r="N12" s="125" t="s">
        <v>79</v>
      </c>
    </row>
    <row r="13" spans="1:17" ht="22.8" customHeight="1" x14ac:dyDescent="0.3">
      <c r="A13" s="126">
        <v>0.8</v>
      </c>
      <c r="B13" s="24" t="str">
        <f>IF($A13=1,"Stoc",IF($A13&gt;1,"air","Fuel"))</f>
        <v>Fuel</v>
      </c>
      <c r="C13" s="24">
        <f>A13*$G$7</f>
        <v>4.7097532314923612E-2</v>
      </c>
      <c r="D13" s="24">
        <f>IF($A13=1,$G$5,IF($A13&gt;1,E13*C13,$G$5))</f>
        <v>1.9995759382366515E-2</v>
      </c>
      <c r="E13" s="24">
        <f>IF($A13=1,$G$6,IF($A13&gt;1,$G$6,D13/C13))</f>
        <v>0.42456065954076616</v>
      </c>
      <c r="F13" s="24">
        <f>D13/($J$7*1000)*1000*60</f>
        <v>1.672215326042354</v>
      </c>
      <c r="G13" s="24">
        <f>E13/($J$8*1000)*1000*60</f>
        <v>19.700190965374354</v>
      </c>
      <c r="H13" s="24">
        <f>IF(A13&gt;1,E13*$G$7*$G$4,D13*$G$4)</f>
        <v>1000</v>
      </c>
      <c r="I13" s="24">
        <f>1/(1+'Chemestry H2'!$L$7*('Chemestry H2'!$J$4+1)/A13)</f>
        <v>0.25316455696202528</v>
      </c>
      <c r="J13" s="24">
        <f>1-I13</f>
        <v>0.74683544303797467</v>
      </c>
      <c r="K13" s="24">
        <f>I13*$P$8+J13*$P$7</f>
        <v>25.694556962025313</v>
      </c>
      <c r="L13" s="24">
        <f>($M$6*K13)/($G$8*$M$5) /1000</f>
        <v>1.0438220608520627</v>
      </c>
      <c r="M13" s="24">
        <f>(D13+E13)/(1000*L13*PI()*($P$5/2)^2)</f>
        <v>1.2296229015808884</v>
      </c>
      <c r="N13" s="24">
        <f>M13*L13*$P$5/([1]!PropsSI("V","T",$M$5,"P",$M$6,"Air"))</f>
        <v>1454.0196703003878</v>
      </c>
    </row>
    <row r="14" spans="1:17" ht="25.8" customHeight="1" x14ac:dyDescent="0.3">
      <c r="A14" s="126">
        <f>A13+0.2</f>
        <v>1</v>
      </c>
      <c r="B14" s="24" t="str">
        <f t="shared" ref="B14:B15" si="0">IF($A14=1,"Stoc",IF($A14&gt;1,"air","Fuel"))</f>
        <v>Stoc</v>
      </c>
      <c r="C14" s="24">
        <f t="shared" ref="C14:C15" si="1">A14*$G$7</f>
        <v>5.8871915393654516E-2</v>
      </c>
      <c r="D14" s="24">
        <f t="shared" ref="D14:D15" si="2">IF($A14=1,$G$5,IF($A14&gt;1,E14*C14,$G$5))</f>
        <v>1.9995759382366515E-2</v>
      </c>
      <c r="E14" s="24">
        <f t="shared" ref="E14:E15" si="3">IF($A14=1,$G$6,IF($A14&gt;1,$G$6,D14/C14))</f>
        <v>0.33964852763261294</v>
      </c>
      <c r="F14" s="24">
        <f>D14/($J$7*1000)*1000*60</f>
        <v>1.672215326042354</v>
      </c>
      <c r="G14" s="24">
        <f t="shared" ref="G14:G15" si="4">E14/($J$8*1000)*1000*60</f>
        <v>15.760152772299481</v>
      </c>
      <c r="H14" s="24">
        <f t="shared" ref="H14:H15" si="5">IF(A14&gt;1,E14*$G$7*$G$4,D14*$G$4)</f>
        <v>1000</v>
      </c>
      <c r="I14" s="24">
        <f>1/(1+'Chemestry CH4'!$L$7*('Chemestry CH4'!$J$4+1)/A14)</f>
        <v>9.5785440613026809E-2</v>
      </c>
      <c r="J14" s="24">
        <f t="shared" ref="J14:J15" si="6">1-I14</f>
        <v>0.90421455938697315</v>
      </c>
      <c r="K14" s="24">
        <f>I14*$P$8+J14*$P$7</f>
        <v>27.730727969348656</v>
      </c>
      <c r="L14" s="24">
        <f t="shared" ref="L14:L15" si="7">($M$6*K14)/($G$8*$M$5) /1000</f>
        <v>1.1265399773451421</v>
      </c>
      <c r="M14" s="24">
        <f>(D14+E14)/(1000*L14*PI()*($P$5/2)^2)</f>
        <v>0.92171803856998491</v>
      </c>
      <c r="N14" s="24">
        <f>M14*L14*$P$5/([1]!PropsSI("V","T",$M$5,"P",$M$6,"Air"))</f>
        <v>1176.2958431635134</v>
      </c>
    </row>
    <row r="15" spans="1:17" ht="27" customHeight="1" x14ac:dyDescent="0.3">
      <c r="A15" s="126">
        <f>A14+0.2</f>
        <v>1.2</v>
      </c>
      <c r="B15" s="24" t="str">
        <f t="shared" si="0"/>
        <v>air</v>
      </c>
      <c r="C15" s="24">
        <f t="shared" si="1"/>
        <v>7.0646298472385419E-2</v>
      </c>
      <c r="D15" s="24">
        <f t="shared" si="2"/>
        <v>2.3994911258839822E-2</v>
      </c>
      <c r="E15" s="24">
        <f t="shared" si="3"/>
        <v>0.33964852763261294</v>
      </c>
      <c r="F15" s="24">
        <f t="shared" ref="F14:F15" si="8">D15/($J$7*1000)*1000*60</f>
        <v>2.0066583912508253</v>
      </c>
      <c r="G15" s="24">
        <f t="shared" si="4"/>
        <v>15.760152772299481</v>
      </c>
      <c r="H15" s="24">
        <f t="shared" si="5"/>
        <v>1000</v>
      </c>
      <c r="I15" s="24">
        <f>1/(1+'Chemestry CH4'!$L$7*('Chemestry CH4'!$J$4+1)/A15)</f>
        <v>0.11278195488721804</v>
      </c>
      <c r="J15" s="24">
        <f t="shared" si="6"/>
        <v>0.88721804511278202</v>
      </c>
      <c r="K15" s="24">
        <f t="shared" ref="K14:K15" si="9">I15*$P$8+J15*$P$7</f>
        <v>27.510827067669176</v>
      </c>
      <c r="L15" s="24">
        <f t="shared" si="7"/>
        <v>1.1176066685236068</v>
      </c>
      <c r="M15" s="24">
        <f>(D15+E15)/(1000*L15*PI()*($P$5/2)^2)</f>
        <v>0.93941675294957117</v>
      </c>
      <c r="N15" s="24">
        <f>M15*L15*$P$5/([1]!PropsSI("V","T",$M$5,"P",$M$6,"Air"))</f>
        <v>1189.375950086717</v>
      </c>
    </row>
  </sheetData>
  <mergeCells count="2">
    <mergeCell ref="A2:C2"/>
    <mergeCell ref="F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74C1-373B-43F6-B438-35249E008B00}">
  <dimension ref="A1:Q21"/>
  <sheetViews>
    <sheetView tabSelected="1" topLeftCell="A11" workbookViewId="0">
      <selection activeCell="J25" sqref="J25"/>
    </sheetView>
  </sheetViews>
  <sheetFormatPr defaultRowHeight="14.4" x14ac:dyDescent="0.3"/>
  <cols>
    <col min="1" max="1" width="20" customWidth="1"/>
    <col min="2" max="2" width="11" bestFit="1" customWidth="1"/>
    <col min="3" max="3" width="11.88671875" customWidth="1"/>
    <col min="4" max="4" width="13.5546875" customWidth="1"/>
    <col min="5" max="5" width="14" customWidth="1"/>
    <col min="6" max="6" width="17.88671875" customWidth="1"/>
    <col min="7" max="7" width="13.44140625" customWidth="1"/>
    <col min="8" max="8" width="12.88671875" customWidth="1"/>
    <col min="9" max="9" width="14.88671875" customWidth="1"/>
    <col min="10" max="10" width="15.77734375" customWidth="1"/>
    <col min="11" max="11" width="16" customWidth="1"/>
    <col min="12" max="12" width="11.109375" customWidth="1"/>
  </cols>
  <sheetData>
    <row r="1" spans="1:17" ht="15" thickBot="1" x14ac:dyDescent="0.35"/>
    <row r="2" spans="1:17" ht="15" thickBot="1" x14ac:dyDescent="0.35">
      <c r="A2" s="114" t="s">
        <v>38</v>
      </c>
      <c r="B2" s="115"/>
      <c r="C2" s="116"/>
      <c r="F2" s="108" t="s">
        <v>46</v>
      </c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10"/>
    </row>
    <row r="3" spans="1:17" ht="15" thickBot="1" x14ac:dyDescent="0.35">
      <c r="A3" s="111" t="s">
        <v>33</v>
      </c>
      <c r="B3" s="112">
        <v>1000</v>
      </c>
      <c r="C3" s="113" t="s">
        <v>34</v>
      </c>
      <c r="F3" s="100" t="s">
        <v>35</v>
      </c>
      <c r="G3" s="93">
        <f>'Chemestry CH4'!B24</f>
        <v>50.010603792415168</v>
      </c>
      <c r="H3" s="101" t="s">
        <v>36</v>
      </c>
      <c r="I3" s="117" t="s">
        <v>51</v>
      </c>
      <c r="J3" s="118">
        <v>0</v>
      </c>
      <c r="K3" s="119" t="s">
        <v>13</v>
      </c>
      <c r="L3" s="117" t="s">
        <v>55</v>
      </c>
      <c r="M3" s="118">
        <v>300</v>
      </c>
      <c r="N3" s="119" t="s">
        <v>63</v>
      </c>
      <c r="O3" s="117" t="s">
        <v>57</v>
      </c>
      <c r="P3" s="130">
        <v>4</v>
      </c>
      <c r="Q3" s="119" t="s">
        <v>59</v>
      </c>
    </row>
    <row r="4" spans="1:17" x14ac:dyDescent="0.3">
      <c r="F4" s="100" t="s">
        <v>35</v>
      </c>
      <c r="G4" s="93">
        <f>G3*1000</f>
        <v>50010.603792415168</v>
      </c>
      <c r="H4" s="101" t="s">
        <v>37</v>
      </c>
      <c r="I4" s="102" t="s">
        <v>52</v>
      </c>
      <c r="J4" s="103">
        <v>1013.25</v>
      </c>
      <c r="K4" s="104" t="s">
        <v>50</v>
      </c>
      <c r="L4" s="102" t="s">
        <v>56</v>
      </c>
      <c r="M4" s="103">
        <v>1</v>
      </c>
      <c r="N4" s="104" t="s">
        <v>64</v>
      </c>
      <c r="O4" s="102" t="s">
        <v>58</v>
      </c>
      <c r="P4" s="103">
        <v>50</v>
      </c>
      <c r="Q4" s="104" t="s">
        <v>47</v>
      </c>
    </row>
    <row r="5" spans="1:17" x14ac:dyDescent="0.3">
      <c r="F5" s="102" t="s">
        <v>39</v>
      </c>
      <c r="G5" s="103">
        <f>B3/G4</f>
        <v>1.9995759382366515E-2</v>
      </c>
      <c r="H5" s="104" t="s">
        <v>40</v>
      </c>
      <c r="I5" s="102" t="s">
        <v>51</v>
      </c>
      <c r="J5" s="103">
        <f>J3+273.15</f>
        <v>273.14999999999998</v>
      </c>
      <c r="K5" s="104" t="s">
        <v>53</v>
      </c>
      <c r="L5" s="102" t="s">
        <v>55</v>
      </c>
      <c r="M5" s="103">
        <f>M3</f>
        <v>300</v>
      </c>
      <c r="N5" s="104" t="s">
        <v>53</v>
      </c>
      <c r="O5" s="102" t="s">
        <v>60</v>
      </c>
      <c r="P5" s="103">
        <f>P3/1000</f>
        <v>4.0000000000000001E-3</v>
      </c>
      <c r="Q5" s="104" t="s">
        <v>61</v>
      </c>
    </row>
    <row r="6" spans="1:17" x14ac:dyDescent="0.3">
      <c r="F6" s="102" t="s">
        <v>41</v>
      </c>
      <c r="G6" s="128">
        <f>G5*'Chemestry H2'!B29</f>
        <v>0.67525362041245673</v>
      </c>
      <c r="H6" s="104" t="s">
        <v>42</v>
      </c>
      <c r="I6" s="102" t="s">
        <v>52</v>
      </c>
      <c r="J6" s="103">
        <f>J4*100</f>
        <v>101325</v>
      </c>
      <c r="K6" s="104" t="s">
        <v>54</v>
      </c>
      <c r="L6" s="102" t="s">
        <v>56</v>
      </c>
      <c r="M6" s="103">
        <f>M4*101325</f>
        <v>101325</v>
      </c>
      <c r="N6" s="104" t="s">
        <v>54</v>
      </c>
      <c r="O6" s="102" t="s">
        <v>62</v>
      </c>
      <c r="P6" s="103">
        <f>P5*P4</f>
        <v>0.2</v>
      </c>
      <c r="Q6" s="104" t="s">
        <v>61</v>
      </c>
    </row>
    <row r="7" spans="1:17" x14ac:dyDescent="0.3">
      <c r="F7" s="102" t="s">
        <v>71</v>
      </c>
      <c r="G7" s="128">
        <f>'Chemestry H2'!B27</f>
        <v>2.9612220916568736E-2</v>
      </c>
      <c r="H7" s="104" t="s">
        <v>47</v>
      </c>
      <c r="I7" s="120" t="s">
        <v>65</v>
      </c>
      <c r="J7" s="129">
        <f>[1]!PropsSI("D", "T", J5, "P", J6, "H2")</f>
        <v>8.9882376384805382E-2</v>
      </c>
      <c r="K7" s="121" t="s">
        <v>67</v>
      </c>
      <c r="L7" s="120" t="s">
        <v>65</v>
      </c>
      <c r="M7" s="129">
        <f>[1]!PropsSI("D", "T", M5, "P", M6, "H2")</f>
        <v>8.1840487796729228E-2</v>
      </c>
      <c r="N7" s="121" t="s">
        <v>67</v>
      </c>
      <c r="O7" s="102" t="s">
        <v>73</v>
      </c>
      <c r="P7" s="103">
        <v>28.97</v>
      </c>
      <c r="Q7" s="104" t="s">
        <v>74</v>
      </c>
    </row>
    <row r="8" spans="1:17" ht="15" thickBot="1" x14ac:dyDescent="0.35">
      <c r="F8" s="105" t="s">
        <v>75</v>
      </c>
      <c r="G8" s="106">
        <v>8.3140000000000001</v>
      </c>
      <c r="H8" s="107" t="s">
        <v>76</v>
      </c>
      <c r="I8" s="122" t="s">
        <v>66</v>
      </c>
      <c r="J8" s="106">
        <f>[1]!PropsSI("D", "T", J5, "P", J6, "air")</f>
        <v>1.2930656163292633</v>
      </c>
      <c r="K8" s="123" t="s">
        <v>67</v>
      </c>
      <c r="L8" s="122" t="s">
        <v>66</v>
      </c>
      <c r="M8" s="106">
        <f>[1]!PropsSI("D", "T", M5, "P", M6, "air")</f>
        <v>1.1769955883877592</v>
      </c>
      <c r="N8" s="123" t="s">
        <v>67</v>
      </c>
      <c r="O8" s="105" t="s">
        <v>83</v>
      </c>
      <c r="P8" s="20">
        <f>'Chemestry H2'!C18</f>
        <v>2.016</v>
      </c>
      <c r="Q8" s="104" t="s">
        <v>74</v>
      </c>
    </row>
    <row r="10" spans="1:17" x14ac:dyDescent="0.3">
      <c r="E10" s="99"/>
    </row>
    <row r="11" spans="1:17" ht="15" customHeight="1" x14ac:dyDescent="0.3"/>
    <row r="12" spans="1:17" ht="45.6" customHeight="1" x14ac:dyDescent="0.3">
      <c r="A12" s="124" t="s">
        <v>43</v>
      </c>
      <c r="B12" s="125" t="s">
        <v>44</v>
      </c>
      <c r="C12" s="125" t="s">
        <v>45</v>
      </c>
      <c r="D12" s="125" t="s">
        <v>49</v>
      </c>
      <c r="E12" s="125" t="s">
        <v>48</v>
      </c>
      <c r="F12" s="125" t="s">
        <v>68</v>
      </c>
      <c r="G12" s="125" t="s">
        <v>69</v>
      </c>
      <c r="H12" s="125" t="s">
        <v>70</v>
      </c>
      <c r="I12" s="127" t="s">
        <v>80</v>
      </c>
      <c r="J12" s="127" t="s">
        <v>81</v>
      </c>
      <c r="K12" s="127" t="s">
        <v>82</v>
      </c>
      <c r="L12" s="127" t="s">
        <v>77</v>
      </c>
      <c r="M12" s="127" t="s">
        <v>78</v>
      </c>
      <c r="N12" s="125" t="s">
        <v>79</v>
      </c>
    </row>
    <row r="13" spans="1:17" ht="22.8" customHeight="1" x14ac:dyDescent="0.3">
      <c r="A13" s="126">
        <v>0.5</v>
      </c>
      <c r="B13" s="24" t="str">
        <f>IF($A13=1,"Stoc",IF($A13&gt;1,"air","Fuel"))</f>
        <v>Fuel</v>
      </c>
      <c r="C13" s="24">
        <f>A13*$G$7</f>
        <v>1.4806110458284368E-2</v>
      </c>
      <c r="D13" s="24">
        <f>IF($A13=1,$G$5,IF($A13&gt;1,E13*C13,$G$5))</f>
        <v>1.9995759382366515E-2</v>
      </c>
      <c r="E13" s="24">
        <f>IF($A13=1,$G$6,IF($A13&gt;1,$G$6,D13/C13))</f>
        <v>1.3505072408249135</v>
      </c>
      <c r="F13" s="24">
        <f>D13/($J$7*1000)*1000*60</f>
        <v>13.347951080038511</v>
      </c>
      <c r="G13" s="24">
        <f>E13/($J$8*1000)*1000*60</f>
        <v>62.665369356524131</v>
      </c>
      <c r="H13" s="24">
        <f>IF(A13&gt;1,E13*$G$7*$G$4,D13*$G$4)</f>
        <v>1000</v>
      </c>
      <c r="I13" s="24">
        <f>1/(1+'Chemestry CH4'!$L$7*('Chemestry CH4'!$J$4+1)/A13)</f>
        <v>5.0301810865191143E-2</v>
      </c>
      <c r="J13" s="24">
        <f>1-I13</f>
        <v>0.94969818913480886</v>
      </c>
      <c r="K13" s="24">
        <f>I13*$P$8+J13*$P$7</f>
        <v>27.614164989939638</v>
      </c>
      <c r="L13" s="24">
        <f>($M$6*K13)/($G$8*$M$5) /1000</f>
        <v>1.1218046939321764</v>
      </c>
      <c r="M13" s="24">
        <f>(D13+E13)/(1000*L13*PI()*($P$5/2)^2)</f>
        <v>97.219385952421874</v>
      </c>
      <c r="N13" s="24">
        <f>M13*L13*$P$5/([1]!PropsSI("V","T",$M$5,"P",$M$6,"Air"))</f>
        <v>23533.292372663094</v>
      </c>
    </row>
    <row r="14" spans="1:17" ht="25.8" customHeight="1" x14ac:dyDescent="0.3">
      <c r="A14" s="126">
        <f>A13+0.1</f>
        <v>0.6</v>
      </c>
      <c r="B14" s="24" t="str">
        <f t="shared" ref="B14:B31" si="0">IF($A14=1,"Stoc",IF($A14&gt;1,"air","Fuel"))</f>
        <v>Fuel</v>
      </c>
      <c r="C14" s="24">
        <f t="shared" ref="C14:C15" si="1">A14*$G$7</f>
        <v>1.7767332549941242E-2</v>
      </c>
      <c r="D14" s="24">
        <f t="shared" ref="D14:D31" si="2">IF($A14=1,$G$5,IF($A14&gt;1,E14*C14,$G$5))</f>
        <v>1.9995759382366515E-2</v>
      </c>
      <c r="E14" s="24">
        <f t="shared" ref="E14:E15" si="3">IF($A14=1,$G$6,IF($A14&gt;1,$G$6,D14/C14))</f>
        <v>1.1254227006874278</v>
      </c>
      <c r="F14" s="24">
        <f t="shared" ref="F14:F15" si="4">D14/($J$7*1000)*1000*60</f>
        <v>13.347951080038511</v>
      </c>
      <c r="G14" s="24">
        <f t="shared" ref="G14:G15" si="5">E14/($J$8*1000)*1000*60</f>
        <v>52.22114113043677</v>
      </c>
      <c r="H14" s="24">
        <f t="shared" ref="H14:H15" si="6">IF(A14&gt;1,E14*$G$7*$G$4,D14*$G$4)</f>
        <v>1000</v>
      </c>
      <c r="I14" s="24">
        <f>1/(1+'Chemestry CH4'!$L$7*('Chemestry CH4'!$J$4+1)/A14)</f>
        <v>5.97609561752988E-2</v>
      </c>
      <c r="J14" s="24">
        <f t="shared" ref="J14:J31" si="7">1-I14</f>
        <v>0.94023904382470125</v>
      </c>
      <c r="K14" s="24">
        <f>I14*$P$8+J14*$P$7</f>
        <v>27.359203187250998</v>
      </c>
      <c r="L14" s="24">
        <f t="shared" ref="L14:L31" si="8">($M$6*K14)/($G$8*$M$5) /1000</f>
        <v>1.1114470623639674</v>
      </c>
      <c r="M14" s="24">
        <f>(D14+E14)/(1000*L14*PI()*($P$5/2)^2)</f>
        <v>82.009758270032989</v>
      </c>
      <c r="N14" s="24">
        <f>M14*L14*$P$5/([1]!PropsSI("V","T",$M$5,"P",$M$6,"Air"))</f>
        <v>19668.302445008256</v>
      </c>
    </row>
    <row r="15" spans="1:17" ht="27" customHeight="1" x14ac:dyDescent="0.3">
      <c r="A15" s="126">
        <f>A14+0.1</f>
        <v>0.7</v>
      </c>
      <c r="B15" s="24" t="str">
        <f t="shared" si="0"/>
        <v>Fuel</v>
      </c>
      <c r="C15" s="24">
        <f t="shared" ref="C15:C16" si="9">A15*$G$7</f>
        <v>2.0728554641598115E-2</v>
      </c>
      <c r="D15" s="24">
        <f t="shared" si="2"/>
        <v>1.9995759382366515E-2</v>
      </c>
      <c r="E15" s="24">
        <f t="shared" ref="E15:E16" si="10">IF($A15=1,$G$6,IF($A15&gt;1,$G$6,D15/C15))</f>
        <v>0.9646480291606524</v>
      </c>
      <c r="F15" s="24">
        <f t="shared" ref="F15:F16" si="11">D15/($J$7*1000)*1000*60</f>
        <v>13.347951080038511</v>
      </c>
      <c r="G15" s="24">
        <f t="shared" ref="G15:G16" si="12">E15/($J$8*1000)*1000*60</f>
        <v>44.760978111802942</v>
      </c>
      <c r="H15" s="24">
        <f t="shared" ref="H15:H16" si="13">IF(A15&gt;1,E15*$G$7*$G$4,D15*$G$4)</f>
        <v>1000</v>
      </c>
      <c r="I15" s="24">
        <f>1/(1+'Chemestry CH4'!$L$7*('Chemestry CH4'!$J$4+1)/A15)</f>
        <v>6.9033530571992102E-2</v>
      </c>
      <c r="J15" s="24">
        <f t="shared" si="7"/>
        <v>0.93096646942800787</v>
      </c>
      <c r="K15" s="24">
        <f>I15*$P$8+J15*$P$7</f>
        <v>27.109270216962525</v>
      </c>
      <c r="L15" s="24">
        <f t="shared" si="8"/>
        <v>1.1012937233316207</v>
      </c>
      <c r="M15" s="24">
        <f>(D15+E15)/(1000*L15*PI()*($P$5/2)^2)</f>
        <v>71.14856046635424</v>
      </c>
      <c r="N15" s="24">
        <f>M15*L15*$P$5/([1]!PropsSI("V","T",$M$5,"P",$M$6,"Air"))</f>
        <v>16907.595353826233</v>
      </c>
    </row>
    <row r="16" spans="1:17" ht="26.4" customHeight="1" x14ac:dyDescent="0.3">
      <c r="A16" s="126">
        <f t="shared" ref="A16:A21" si="14">A15+0.1</f>
        <v>0.79999999999999993</v>
      </c>
      <c r="B16" s="24" t="str">
        <f t="shared" si="0"/>
        <v>Fuel</v>
      </c>
      <c r="C16" s="24">
        <f t="shared" ref="C16:C21" si="15">A16*$G$7</f>
        <v>2.3689776733254987E-2</v>
      </c>
      <c r="D16" s="24">
        <f t="shared" si="2"/>
        <v>1.9995759382366515E-2</v>
      </c>
      <c r="E16" s="24">
        <f t="shared" ref="E16:E21" si="16">IF($A16=1,$G$6,IF($A16&gt;1,$G$6,D16/C16))</f>
        <v>0.84406702551557089</v>
      </c>
      <c r="F16" s="24">
        <f t="shared" ref="F16:F21" si="17">D16/($J$7*1000)*1000*60</f>
        <v>13.347951080038511</v>
      </c>
      <c r="G16" s="24">
        <f t="shared" ref="G16:G21" si="18">E16/($J$8*1000)*1000*60</f>
        <v>39.165855847827586</v>
      </c>
      <c r="H16" s="24">
        <f t="shared" ref="H16:H21" si="19">IF(A16&gt;1,E16*$G$7*$G$4,D16*$G$4)</f>
        <v>1000</v>
      </c>
      <c r="I16" s="24">
        <f>1/(1+'Chemestry CH4'!$L$7*('Chemestry CH4'!$J$4+1)/A16)</f>
        <v>7.8124999999999986E-2</v>
      </c>
      <c r="J16" s="24">
        <f t="shared" si="7"/>
        <v>0.921875</v>
      </c>
      <c r="K16" s="24">
        <f t="shared" ref="K16:K21" si="20">I16*$P$8+J16*$P$7</f>
        <v>26.864218749999999</v>
      </c>
      <c r="L16" s="24">
        <f t="shared" si="8"/>
        <v>1.0913386917022492</v>
      </c>
      <c r="M16" s="24">
        <f t="shared" ref="M16:M21" si="21">(D16+E16)/(1000*L16*PI()*($P$5/2)^2)</f>
        <v>63.005125908142681</v>
      </c>
      <c r="N16" s="24">
        <f>M16*L16*$P$5/([1]!PropsSI("V","T",$M$5,"P",$M$6,"Air"))</f>
        <v>14837.065035439715</v>
      </c>
    </row>
    <row r="17" spans="1:14" ht="25.2" customHeight="1" x14ac:dyDescent="0.3">
      <c r="A17" s="126">
        <f t="shared" si="14"/>
        <v>0.89999999999999991</v>
      </c>
      <c r="B17" s="24" t="str">
        <f t="shared" si="0"/>
        <v>Fuel</v>
      </c>
      <c r="C17" s="24">
        <f t="shared" si="15"/>
        <v>2.665099882491186E-2</v>
      </c>
      <c r="D17" s="24">
        <f t="shared" si="2"/>
        <v>1.9995759382366515E-2</v>
      </c>
      <c r="E17" s="24">
        <f t="shared" si="16"/>
        <v>0.7502818004582853</v>
      </c>
      <c r="F17" s="24">
        <f t="shared" si="17"/>
        <v>13.347951080038511</v>
      </c>
      <c r="G17" s="24">
        <f t="shared" si="18"/>
        <v>34.814094086957851</v>
      </c>
      <c r="H17" s="24">
        <f t="shared" si="19"/>
        <v>1000</v>
      </c>
      <c r="I17" s="24">
        <f>1/(1+'Chemestry CH4'!$L$7*('Chemestry CH4'!$J$4+1)/A17)</f>
        <v>8.7040618955512558E-2</v>
      </c>
      <c r="J17" s="24">
        <f t="shared" si="7"/>
        <v>0.91295938104448748</v>
      </c>
      <c r="K17" s="24">
        <f t="shared" si="20"/>
        <v>26.623907156673113</v>
      </c>
      <c r="L17" s="24">
        <f t="shared" si="8"/>
        <v>1.081576213876154</v>
      </c>
      <c r="M17" s="24">
        <f t="shared" si="21"/>
        <v>56.673528702176384</v>
      </c>
      <c r="N17" s="24">
        <f>M17*L17*$P$5/([1]!PropsSI("V","T",$M$5,"P",$M$6,"Air"))</f>
        <v>13226.652565583536</v>
      </c>
    </row>
    <row r="18" spans="1:14" ht="24.6" customHeight="1" x14ac:dyDescent="0.3">
      <c r="A18" s="126">
        <f t="shared" si="14"/>
        <v>0.99999999999999989</v>
      </c>
      <c r="B18" s="24" t="str">
        <f t="shared" si="0"/>
        <v>Stoc</v>
      </c>
      <c r="C18" s="24">
        <f t="shared" si="15"/>
        <v>2.9612220916568732E-2</v>
      </c>
      <c r="D18" s="24">
        <f t="shared" si="2"/>
        <v>1.9995759382366515E-2</v>
      </c>
      <c r="E18" s="24">
        <f t="shared" si="16"/>
        <v>0.67525362041245673</v>
      </c>
      <c r="F18" s="24">
        <f t="shared" si="17"/>
        <v>13.347951080038511</v>
      </c>
      <c r="G18" s="24">
        <f t="shared" si="18"/>
        <v>31.332684678262066</v>
      </c>
      <c r="H18" s="24">
        <f t="shared" si="19"/>
        <v>1000</v>
      </c>
      <c r="I18" s="24">
        <f>1/(1+'Chemestry CH4'!$L$7*('Chemestry CH4'!$J$4+1)/A18)</f>
        <v>9.5785440613026795E-2</v>
      </c>
      <c r="J18" s="24">
        <f t="shared" si="7"/>
        <v>0.90421455938697326</v>
      </c>
      <c r="K18" s="24">
        <f t="shared" si="20"/>
        <v>26.388199233716477</v>
      </c>
      <c r="L18" s="24">
        <f t="shared" si="8"/>
        <v>1.0720007566980685</v>
      </c>
      <c r="M18" s="24">
        <f t="shared" si="21"/>
        <v>51.610213325197371</v>
      </c>
      <c r="N18" s="24">
        <f>M18*L18*$P$5/([1]!PropsSI("V","T",$M$5,"P",$M$6,"Air"))</f>
        <v>11938.32258969859</v>
      </c>
    </row>
    <row r="19" spans="1:14" ht="21.6" customHeight="1" x14ac:dyDescent="0.3">
      <c r="A19" s="126">
        <f t="shared" si="14"/>
        <v>1.0999999999999999</v>
      </c>
      <c r="B19" s="24" t="str">
        <f t="shared" si="0"/>
        <v>air</v>
      </c>
      <c r="C19" s="24">
        <f t="shared" si="15"/>
        <v>3.2573443008225608E-2</v>
      </c>
      <c r="D19" s="24">
        <f t="shared" si="2"/>
        <v>2.1995335320603167E-2</v>
      </c>
      <c r="E19" s="24">
        <f t="shared" si="16"/>
        <v>0.67525362041245673</v>
      </c>
      <c r="F19" s="24">
        <f t="shared" si="17"/>
        <v>14.68274618804236</v>
      </c>
      <c r="G19" s="24">
        <f t="shared" si="18"/>
        <v>31.332684678262066</v>
      </c>
      <c r="H19" s="24">
        <f t="shared" si="19"/>
        <v>1000</v>
      </c>
      <c r="I19" s="24">
        <f>1/(1+'Chemestry CH4'!$L$7*('Chemestry CH4'!$J$4+1)/A19)</f>
        <v>0.10436432637571155</v>
      </c>
      <c r="J19" s="24">
        <f t="shared" si="7"/>
        <v>0.89563567362428842</v>
      </c>
      <c r="K19" s="24">
        <f t="shared" si="20"/>
        <v>26.15696394686907</v>
      </c>
      <c r="L19" s="24">
        <f t="shared" si="8"/>
        <v>1.0626069969996426</v>
      </c>
      <c r="M19" s="24">
        <f t="shared" si="21"/>
        <v>52.216208901274491</v>
      </c>
      <c r="N19" s="24">
        <f>M19*L19*$P$5/([1]!PropsSI("V","T",$M$5,"P",$M$6,"Air"))</f>
        <v>11972.657870371993</v>
      </c>
    </row>
    <row r="20" spans="1:14" ht="21.6" customHeight="1" x14ac:dyDescent="0.3">
      <c r="A20" s="126">
        <f t="shared" si="14"/>
        <v>1.2</v>
      </c>
      <c r="B20" s="24" t="str">
        <f t="shared" si="0"/>
        <v>air</v>
      </c>
      <c r="C20" s="24">
        <f t="shared" si="15"/>
        <v>3.5534665099882484E-2</v>
      </c>
      <c r="D20" s="24">
        <f t="shared" si="2"/>
        <v>2.3994911258839822E-2</v>
      </c>
      <c r="E20" s="24">
        <f t="shared" si="16"/>
        <v>0.67525362041245673</v>
      </c>
      <c r="F20" s="24">
        <f t="shared" si="17"/>
        <v>16.017541296046218</v>
      </c>
      <c r="G20" s="24">
        <f t="shared" si="18"/>
        <v>31.332684678262066</v>
      </c>
      <c r="H20" s="24">
        <f t="shared" si="19"/>
        <v>1000</v>
      </c>
      <c r="I20" s="24">
        <f>1/(1+'Chemestry CH4'!$L$7*('Chemestry CH4'!$J$4+1)/A20)</f>
        <v>0.11278195488721804</v>
      </c>
      <c r="J20" s="24">
        <f t="shared" si="7"/>
        <v>0.88721804511278202</v>
      </c>
      <c r="K20" s="24">
        <f t="shared" si="20"/>
        <v>25.930075187969926</v>
      </c>
      <c r="L20" s="24">
        <f t="shared" si="8"/>
        <v>1.0533898117316385</v>
      </c>
      <c r="M20" s="24">
        <f t="shared" si="21"/>
        <v>52.824158267817261</v>
      </c>
      <c r="N20" s="24">
        <f>M20*L20*$P$5/([1]!PropsSI("V","T",$M$5,"P",$M$6,"Air"))</f>
        <v>12006.993151045408</v>
      </c>
    </row>
    <row r="21" spans="1:14" ht="25.8" customHeight="1" x14ac:dyDescent="0.3">
      <c r="A21" s="126">
        <f t="shared" si="14"/>
        <v>1.3</v>
      </c>
      <c r="B21" s="24" t="str">
        <f t="shared" si="0"/>
        <v>air</v>
      </c>
      <c r="C21" s="24">
        <f t="shared" si="15"/>
        <v>3.849588719153936E-2</v>
      </c>
      <c r="D21" s="24">
        <f t="shared" si="2"/>
        <v>2.5994487197076473E-2</v>
      </c>
      <c r="E21" s="24">
        <f t="shared" si="16"/>
        <v>0.67525362041245673</v>
      </c>
      <c r="F21" s="24">
        <f t="shared" si="17"/>
        <v>17.352336404050064</v>
      </c>
      <c r="G21" s="24">
        <f t="shared" si="18"/>
        <v>31.332684678262066</v>
      </c>
      <c r="H21" s="24">
        <f t="shared" si="19"/>
        <v>1000</v>
      </c>
      <c r="I21" s="24">
        <f>1/(1+'Chemestry CH4'!$L$7*('Chemestry CH4'!$J$4+1)/A21)</f>
        <v>0.12104283054003723</v>
      </c>
      <c r="J21" s="24">
        <f t="shared" si="7"/>
        <v>0.87895716945996272</v>
      </c>
      <c r="K21" s="24">
        <f t="shared" si="20"/>
        <v>25.707411545623835</v>
      </c>
      <c r="L21" s="24">
        <f t="shared" si="8"/>
        <v>1.044344268647396</v>
      </c>
      <c r="M21" s="24">
        <f t="shared" si="21"/>
        <v>53.434057144989545</v>
      </c>
      <c r="N21" s="24">
        <f>M21*L21*$P$5/([1]!PropsSI("V","T",$M$5,"P",$M$6,"Air"))</f>
        <v>12041.328431718814</v>
      </c>
    </row>
  </sheetData>
  <mergeCells count="2">
    <mergeCell ref="A2:C2"/>
    <mergeCell ref="F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Chemestry CH4</vt:lpstr>
      <vt:lpstr>Chemestry H2</vt:lpstr>
      <vt:lpstr>CH4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Maio Rodrigues</dc:creator>
  <cp:lastModifiedBy>Francisco Maio Rodrigues</cp:lastModifiedBy>
  <dcterms:created xsi:type="dcterms:W3CDTF">2026-05-25T08:11:43Z</dcterms:created>
  <dcterms:modified xsi:type="dcterms:W3CDTF">2026-05-25T12:54:06Z</dcterms:modified>
</cp:coreProperties>
</file>